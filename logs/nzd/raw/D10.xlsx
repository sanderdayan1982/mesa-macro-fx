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0420\FMO\Liquidity management\Operations\Open market operations\"/>
    </mc:Choice>
  </mc:AlternateContent>
  <xr:revisionPtr revIDLastSave="0" documentId="13_ncr:1_{29F3AFD3-9607-4293-AD19-F38FC50A4692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History_C16 (to Mar 1999)" sheetId="1" r:id="rId1"/>
    <sheet name="History_D10 (Apr 99 to Dec 07)" sheetId="3" r:id="rId2"/>
    <sheet name="History_D10 (Jan 08 onwards)" sheetId="4" r:id="rId3"/>
  </sheets>
  <definedNames>
    <definedName name="fourthQ">#REF!</definedName>
    <definedName name="_xlnm.Print_Area" localSheetId="0">'History_C16 (to Mar 1999)'!$A$1:$U$29</definedName>
    <definedName name="_xlnm.Print_Area" localSheetId="1">'History_D10 (Apr 99 to Dec 07)'!$A$1:$AC$111</definedName>
    <definedName name="_xlnm.Print_Area" localSheetId="2">'History_D10 (Jan 08 onwards)'!$A$1:$AI$18</definedName>
    <definedName name="_xlnm.Print_Titles" localSheetId="1">'History_D10 (Apr 99 to Dec 07)'!$1:$5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3" l="1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7" i="3"/>
  <c r="U29" i="1"/>
  <c r="U28" i="1"/>
</calcChain>
</file>

<file path=xl/sharedStrings.xml><?xml version="1.0" encoding="utf-8"?>
<sst xmlns="http://schemas.openxmlformats.org/spreadsheetml/2006/main" count="812" uniqueCount="112">
  <si>
    <t>C16 Influences on Primary Liquidity</t>
  </si>
  <si>
    <t>($NZ million)</t>
  </si>
  <si>
    <t>Settlement Cash</t>
  </si>
  <si>
    <t>Discountable Securities:</t>
  </si>
  <si>
    <t>Average primary liquidity</t>
  </si>
  <si>
    <t>11. Net security entries:</t>
  </si>
  <si>
    <t>Liquidity management operations:</t>
  </si>
  <si>
    <t>1.  Cash at beginning of month</t>
  </si>
  <si>
    <t>2.  Government cash influence</t>
  </si>
  <si>
    <t>3.  Reserve Bank transactions</t>
  </si>
  <si>
    <t>4.  Government debt tansactions</t>
  </si>
  <si>
    <t>5.  Cash after public sector transactions (=1+2+3+4)</t>
  </si>
  <si>
    <t>6.  Liquidity management operations on cash</t>
  </si>
  <si>
    <t>7.  Discounting</t>
  </si>
  <si>
    <t>8.  Cash at end of month (=5+6+7)</t>
  </si>
  <si>
    <t>9.  Average settlement cash</t>
  </si>
  <si>
    <t>10.  Discountable securities at beginning of month</t>
  </si>
  <si>
    <t xml:space="preserve">       Bills that became discountable</t>
  </si>
  <si>
    <t xml:space="preserve">       Bill maturities </t>
  </si>
  <si>
    <t xml:space="preserve">       Discounting </t>
  </si>
  <si>
    <t xml:space="preserve">       OMO sales</t>
  </si>
  <si>
    <t xml:space="preserve">       OMO purchases</t>
  </si>
  <si>
    <t>12.  Discountable securities at end of month (=10+11)</t>
  </si>
  <si>
    <t>13.  Average discountable securities</t>
  </si>
  <si>
    <t>14.  Average settlement cash</t>
  </si>
  <si>
    <t>15.  Average discountable securities</t>
  </si>
  <si>
    <t>16.  Average PL over the month (=14+15)</t>
  </si>
  <si>
    <t>May 1997</t>
  </si>
  <si>
    <t>-</t>
  </si>
  <si>
    <t>D10 Influences on Settlement Cash</t>
  </si>
  <si>
    <t>3. Reserve Bank Transactions</t>
  </si>
  <si>
    <t>4. Government Debt Transactions</t>
  </si>
  <si>
    <t>7. Liquidity management operations</t>
  </si>
  <si>
    <t>10. Outstanding liquidity management operations as at end of month:</t>
  </si>
  <si>
    <t>Other</t>
  </si>
  <si>
    <t>Bonds issued</t>
  </si>
  <si>
    <t>Bond maturities</t>
  </si>
  <si>
    <t xml:space="preserve">Regular Treasury bill maturities </t>
  </si>
  <si>
    <t>5.  Foreign exchange</t>
  </si>
  <si>
    <t>6.  Cash after public sector transactions during month (=1+2+3+4+5)</t>
  </si>
  <si>
    <t>Net reverse repos</t>
  </si>
  <si>
    <t>Net repos</t>
  </si>
  <si>
    <t>Net seasonal Treasury bills</t>
  </si>
  <si>
    <t>Net overnight reverse repo facility</t>
  </si>
  <si>
    <t>Net Auto-repo rollover</t>
  </si>
  <si>
    <t xml:space="preserve">Net total liquidity management operations during month: </t>
  </si>
  <si>
    <t>8.  Cash as at end of month (6+7)</t>
  </si>
  <si>
    <t>Reverse repo (nominal)</t>
  </si>
  <si>
    <t>Repo (nominal)</t>
  </si>
  <si>
    <t>Seasonal Treasury bills</t>
  </si>
  <si>
    <t>Overnight reverse repo facility</t>
  </si>
  <si>
    <t>Auto-repo rollover</t>
  </si>
  <si>
    <t>Total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</si>
  <si>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</si>
  <si>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</si>
  <si>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</si>
  <si>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</si>
  <si>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</si>
  <si>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</si>
  <si>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</si>
  <si>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</si>
  <si>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</si>
  <si>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</si>
  <si>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</si>
  <si>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</si>
  <si>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</si>
  <si>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</si>
  <si>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</si>
  <si>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</si>
  <si>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</si>
  <si>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</si>
  <si>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</si>
  <si>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</si>
  <si>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</si>
  <si>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</si>
  <si>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</si>
  <si>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</si>
  <si>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</si>
  <si>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</si>
  <si>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</si>
  <si>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</si>
  <si>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</si>
  <si>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</si>
  <si>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</si>
  <si>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</si>
  <si>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</si>
  <si>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</si>
  <si>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</si>
  <si>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</si>
  <si>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</si>
  <si>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</si>
  <si>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</si>
  <si>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</si>
  <si>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</si>
  <si>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Net Bond Lending Facility</t>
  </si>
  <si>
    <t>Bond Lending Facility (Net)</t>
  </si>
  <si>
    <t>FX swaps and Basis Swaps</t>
  </si>
  <si>
    <t>Net FX Swaps and Basis Swaps</t>
  </si>
  <si>
    <t>..</t>
  </si>
  <si>
    <t>Date</t>
  </si>
  <si>
    <t xml:space="preserve">Regular Treasury bill issued </t>
  </si>
  <si>
    <t>Net RB bills</t>
  </si>
  <si>
    <t>RB bills</t>
  </si>
  <si>
    <t>Net Large Scale Asset Purchases</t>
  </si>
  <si>
    <t>Net Term Lending Facility reverse repos</t>
  </si>
  <si>
    <t>Reverse repo</t>
  </si>
  <si>
    <t>Repo</t>
  </si>
  <si>
    <t>Term Lending Facility</t>
  </si>
  <si>
    <t>Bond Lending Facility</t>
  </si>
  <si>
    <t>Net Funding for Lending Programme reverse repos</t>
  </si>
  <si>
    <t>Funding for Lending Programme</t>
  </si>
  <si>
    <t>Large Scale Asset Purchases (face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</si>
</sst>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"/>
    <numFmt numFmtId="165" formatCode="#,##0\ "/>
    <numFmt numFmtId="166" formatCode="0."/>
    <numFmt numFmtId="167" formatCode="mmm\-yyyy"/>
    <numFmt numFmtId="168" formatCode="mmm\ yyyy"/>
    <numFmt numFmtId="169" formatCode="0.00000"/>
  </numFmts>
  <fonts count="13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0"/>
      </top>
      <bottom/>
      <diagonal/>
    </border>
  </borders>
  <cellStyleXfs count="2">
    <xf numFmtId="0" fontId="0" fillId="0" borderId="0"/>
    <xf numFmtId="164" fontId="8" fillId="0" borderId="0"/>
  </cellStyleXfs>
  <cellXfs count="103">
    <xf numFmtId="0" fontId="0" fillId="0" borderId="0" xfId="0"/>
    <xf numFmtId="0" fontId="4" fillId="0" borderId="0" xfId="0" applyFont="1"/>
    <xf numFmtId="165" fontId="6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1" fontId="4" fillId="0" borderId="0" xfId="0" applyNumberFormat="1" applyFont="1" applyAlignment="1">
      <alignment horizontal="center"/>
    </xf>
    <xf numFmtId="0" fontId="3" fillId="0" borderId="1" xfId="0" applyFont="1" applyBorder="1"/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167" fontId="4" fillId="0" borderId="0" xfId="0" quotePrefix="1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/>
    </xf>
    <xf numFmtId="165" fontId="6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1" fontId="4" fillId="0" borderId="7" xfId="0" quotePrefix="1" applyNumberFormat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1" fontId="4" fillId="0" borderId="9" xfId="0" applyNumberFormat="1" applyFont="1" applyBorder="1" applyAlignment="1">
      <alignment horizontal="center" wrapText="1"/>
    </xf>
    <xf numFmtId="1" fontId="4" fillId="0" borderId="9" xfId="0" quotePrefix="1" applyNumberFormat="1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Continuous"/>
    </xf>
    <xf numFmtId="1" fontId="4" fillId="0" borderId="6" xfId="0" quotePrefix="1" applyNumberFormat="1" applyFont="1" applyBorder="1" applyAlignment="1">
      <alignment horizontal="center" wrapText="1"/>
    </xf>
    <xf numFmtId="165" fontId="4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6" fontId="2" fillId="0" borderId="0" xfId="0" applyNumberFormat="1" applyFont="1" applyAlignment="1">
      <alignment horizontal="left" vertical="center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3" fillId="0" borderId="8" xfId="0" applyFont="1" applyBorder="1"/>
    <xf numFmtId="166" fontId="4" fillId="0" borderId="9" xfId="0" applyNumberFormat="1" applyFont="1" applyBorder="1"/>
    <xf numFmtId="1" fontId="4" fillId="0" borderId="5" xfId="0" quotePrefix="1" applyNumberFormat="1" applyFont="1" applyBorder="1" applyAlignment="1">
      <alignment horizontal="center" wrapText="1"/>
    </xf>
    <xf numFmtId="0" fontId="3" fillId="0" borderId="10" xfId="0" applyFont="1" applyBorder="1"/>
    <xf numFmtId="0" fontId="5" fillId="0" borderId="11" xfId="0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Continuous"/>
    </xf>
    <xf numFmtId="0" fontId="4" fillId="0" borderId="14" xfId="0" applyFont="1" applyBorder="1" applyAlignment="1">
      <alignment horizontal="centerContinuous"/>
    </xf>
    <xf numFmtId="0" fontId="4" fillId="0" borderId="15" xfId="0" applyFont="1" applyBorder="1" applyAlignment="1">
      <alignment horizontal="centerContinuous"/>
    </xf>
    <xf numFmtId="1" fontId="4" fillId="0" borderId="14" xfId="0" quotePrefix="1" applyNumberFormat="1" applyFont="1" applyBorder="1" applyAlignment="1">
      <alignment horizontal="center" wrapText="1"/>
    </xf>
    <xf numFmtId="3" fontId="0" fillId="0" borderId="0" xfId="0" applyNumberFormat="1" applyAlignment="1">
      <alignment horizontal="left"/>
    </xf>
    <xf numFmtId="3" fontId="4" fillId="0" borderId="1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4" fillId="0" borderId="5" xfId="0" quotePrefix="1" applyNumberFormat="1" applyFont="1" applyBorder="1" applyAlignment="1">
      <alignment horizontal="center" wrapText="1"/>
    </xf>
    <xf numFmtId="3" fontId="4" fillId="0" borderId="0" xfId="0" quotePrefix="1" applyNumberFormat="1" applyFont="1" applyAlignment="1">
      <alignment horizontal="center"/>
    </xf>
    <xf numFmtId="3" fontId="4" fillId="0" borderId="7" xfId="0" quotePrefix="1" applyNumberFormat="1" applyFont="1" applyBorder="1" applyAlignment="1">
      <alignment horizontal="center" wrapText="1"/>
    </xf>
    <xf numFmtId="3" fontId="0" fillId="0" borderId="16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 wrapText="1"/>
    </xf>
    <xf numFmtId="3" fontId="4" fillId="0" borderId="6" xfId="0" quotePrefix="1" applyNumberFormat="1" applyFont="1" applyBorder="1" applyAlignment="1">
      <alignment horizontal="center" wrapText="1"/>
    </xf>
    <xf numFmtId="3" fontId="4" fillId="0" borderId="6" xfId="0" applyNumberFormat="1" applyFont="1" applyBorder="1" applyAlignment="1">
      <alignment horizontal="center" wrapText="1"/>
    </xf>
    <xf numFmtId="3" fontId="5" fillId="0" borderId="0" xfId="0" applyNumberFormat="1" applyFont="1" applyAlignment="1">
      <alignment horizontal="center"/>
    </xf>
    <xf numFmtId="166" fontId="2" fillId="0" borderId="0" xfId="0" quotePrefix="1" applyNumberFormat="1" applyFont="1" applyAlignment="1">
      <alignment horizontal="left"/>
    </xf>
    <xf numFmtId="1" fontId="6" fillId="0" borderId="0" xfId="0" quotePrefix="1" applyNumberFormat="1" applyFont="1" applyAlignment="1">
      <alignment horizontal="center"/>
    </xf>
    <xf numFmtId="17" fontId="4" fillId="0" borderId="0" xfId="0" quotePrefix="1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168" fontId="4" fillId="0" borderId="0" xfId="0" quotePrefix="1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" fontId="4" fillId="0" borderId="6" xfId="0" quotePrefix="1" applyNumberFormat="1" applyFont="1" applyBorder="1" applyAlignment="1">
      <alignment horizontal="left" wrapText="1"/>
    </xf>
    <xf numFmtId="168" fontId="5" fillId="0" borderId="0" xfId="0" applyNumberFormat="1" applyFont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0" fillId="0" borderId="3" xfId="0" applyBorder="1" applyAlignment="1">
      <alignment horizontal="center" vertical="top" wrapText="1"/>
    </xf>
    <xf numFmtId="169" fontId="4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3" fontId="5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3" fontId="5" fillId="0" borderId="8" xfId="0" applyNumberFormat="1" applyFont="1" applyBorder="1" applyAlignment="1">
      <alignment horizontal="center" wrapText="1"/>
    </xf>
    <xf numFmtId="0" fontId="0" fillId="0" borderId="9" xfId="0" applyBorder="1"/>
    <xf numFmtId="0" fontId="0" fillId="0" borderId="4" xfId="0" applyBorder="1" applyAlignment="1">
      <alignment horizontal="center" vertical="top" wrapText="1"/>
    </xf>
    <xf numFmtId="3" fontId="5" fillId="0" borderId="8" xfId="0" quotePrefix="1" applyNumberFormat="1" applyFont="1" applyBorder="1" applyAlignment="1">
      <alignment horizontal="center" vertical="top" wrapText="1"/>
    </xf>
    <xf numFmtId="3" fontId="5" fillId="0" borderId="9" xfId="0" quotePrefix="1" applyNumberFormat="1" applyFont="1" applyBorder="1" applyAlignment="1">
      <alignment horizontal="center" vertical="top" wrapText="1"/>
    </xf>
    <xf numFmtId="3" fontId="5" fillId="0" borderId="2" xfId="0" quotePrefix="1" applyNumberFormat="1" applyFont="1" applyBorder="1" applyAlignment="1">
      <alignment horizontal="center" vertical="top" wrapText="1"/>
    </xf>
    <xf numFmtId="0" fontId="4" fillId="0" borderId="8" xfId="0" applyFont="1" applyBorder="1" applyAlignment="1">
      <alignment wrapText="1"/>
    </xf>
    <xf numFmtId="0" fontId="0" fillId="0" borderId="9" xfId="0" applyBorder="1" applyAlignment="1">
      <alignment wrapText="1"/>
    </xf>
    <xf numFmtId="0" fontId="10" fillId="0" borderId="9" xfId="0" applyFont="1" applyBorder="1"/>
    <xf numFmtId="0" fontId="5" fillId="0" borderId="8" xfId="0" applyFont="1" applyBorder="1" applyAlignment="1">
      <alignment wrapText="1"/>
    </xf>
    <xf numFmtId="0" fontId="10" fillId="0" borderId="9" xfId="0" applyFont="1" applyBorder="1" applyAlignment="1">
      <alignment wrapText="1"/>
    </xf>
  </cellXfs>
  <cellStyles count="2">
    <cellStyle name="mmm" xfId="1" xr:uid="{00000000-0005-0000-0000-000000000000}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30"/>
  <sheetViews>
    <sheetView workbookViewId="0">
      <selection activeCell="E19" sqref="E19"/>
    </sheetView>
  </sheetViews>
  <sheetFormatPr defaultRowHeight="12.75" x14ac:dyDescent="0.2"/>
  <cols>
    <col min="2" max="21" width="12.85546875" style="8" customWidth="1"/>
  </cols>
  <sheetData>
    <row r="1" spans="1:21" s="1" customFormat="1" ht="12.75" customHeight="1" x14ac:dyDescent="0.2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s="1" customFormat="1" ht="12.75" customHeight="1" x14ac:dyDescent="0.2">
      <c r="A2" s="6" t="s">
        <v>1</v>
      </c>
      <c r="B2" s="10"/>
      <c r="C2" s="10"/>
      <c r="D2" s="10"/>
      <c r="E2" s="10"/>
      <c r="F2" s="10"/>
      <c r="G2" s="11"/>
      <c r="H2" s="11"/>
      <c r="I2" s="11"/>
      <c r="J2" s="11"/>
      <c r="K2" s="11"/>
      <c r="L2" s="11"/>
      <c r="M2" s="11"/>
      <c r="N2" s="36"/>
      <c r="O2" s="11"/>
      <c r="P2" s="11"/>
      <c r="Q2" s="12"/>
      <c r="R2" s="12"/>
      <c r="S2" s="12"/>
      <c r="T2" s="12"/>
      <c r="U2" s="12"/>
    </row>
    <row r="3" spans="1:21" s="1" customFormat="1" ht="12.75" customHeight="1" x14ac:dyDescent="0.2">
      <c r="A3" s="4"/>
      <c r="B3" s="19"/>
      <c r="C3" s="19"/>
      <c r="D3" s="19"/>
      <c r="E3" s="19"/>
      <c r="F3" s="19"/>
      <c r="G3" s="5"/>
      <c r="H3" s="5"/>
      <c r="I3" s="5"/>
      <c r="J3" s="5"/>
      <c r="K3" s="5"/>
      <c r="L3" s="5"/>
      <c r="M3" s="5"/>
      <c r="N3" s="13"/>
      <c r="O3" s="5"/>
      <c r="P3" s="5"/>
      <c r="Q3" s="9"/>
      <c r="R3" s="9"/>
      <c r="S3" s="9"/>
      <c r="T3" s="9"/>
      <c r="U3" s="9"/>
    </row>
    <row r="4" spans="1:21" s="1" customFormat="1" ht="12.75" customHeight="1" x14ac:dyDescent="0.2">
      <c r="A4" s="41"/>
      <c r="B4" s="22" t="s">
        <v>2</v>
      </c>
      <c r="C4" s="39"/>
      <c r="D4" s="39"/>
      <c r="E4" s="39"/>
      <c r="F4" s="40"/>
      <c r="G4" s="35"/>
      <c r="H4" s="35"/>
      <c r="I4" s="35"/>
      <c r="J4" s="35"/>
      <c r="K4" s="31" t="s">
        <v>3</v>
      </c>
      <c r="L4" s="39"/>
      <c r="M4" s="39"/>
      <c r="N4" s="39"/>
      <c r="O4" s="39"/>
      <c r="P4" s="40"/>
      <c r="Q4" s="28"/>
      <c r="R4" s="28"/>
      <c r="S4" s="22" t="s">
        <v>4</v>
      </c>
      <c r="T4" s="23"/>
      <c r="U4" s="24"/>
    </row>
    <row r="5" spans="1:21" s="1" customFormat="1" ht="12.75" customHeight="1" x14ac:dyDescent="0.2">
      <c r="A5" s="44"/>
      <c r="B5" s="45"/>
      <c r="C5" s="8"/>
      <c r="D5" s="8"/>
      <c r="E5" s="8"/>
      <c r="F5" s="8"/>
      <c r="G5" s="46"/>
      <c r="H5" s="46"/>
      <c r="I5" s="46"/>
      <c r="J5" s="46"/>
      <c r="K5" s="47"/>
      <c r="L5" s="50" t="s">
        <v>5</v>
      </c>
      <c r="M5" s="51"/>
      <c r="N5" s="52"/>
      <c r="O5" s="50" t="s">
        <v>6</v>
      </c>
      <c r="P5" s="52"/>
      <c r="Q5" s="48"/>
      <c r="R5" s="48"/>
      <c r="S5" s="45"/>
      <c r="T5" s="21"/>
      <c r="U5" s="49"/>
    </row>
    <row r="6" spans="1:21" ht="60" x14ac:dyDescent="0.2">
      <c r="A6" s="42"/>
      <c r="B6" s="25" t="s">
        <v>7</v>
      </c>
      <c r="C6" s="32" t="s">
        <v>8</v>
      </c>
      <c r="D6" s="32" t="s">
        <v>9</v>
      </c>
      <c r="E6" s="32" t="s">
        <v>10</v>
      </c>
      <c r="F6" s="32" t="s">
        <v>11</v>
      </c>
      <c r="G6" s="30" t="s">
        <v>12</v>
      </c>
      <c r="H6" s="29" t="s">
        <v>13</v>
      </c>
      <c r="I6" s="29" t="s">
        <v>14</v>
      </c>
      <c r="J6" s="30" t="s">
        <v>15</v>
      </c>
      <c r="K6" s="43" t="s">
        <v>16</v>
      </c>
      <c r="L6" s="53" t="s">
        <v>17</v>
      </c>
      <c r="M6" s="53" t="s">
        <v>18</v>
      </c>
      <c r="N6" s="53" t="s">
        <v>19</v>
      </c>
      <c r="O6" s="32" t="s">
        <v>20</v>
      </c>
      <c r="P6" s="27" t="s">
        <v>21</v>
      </c>
      <c r="Q6" s="30" t="s">
        <v>22</v>
      </c>
      <c r="R6" s="29" t="s">
        <v>23</v>
      </c>
      <c r="S6" s="25" t="s">
        <v>24</v>
      </c>
      <c r="T6" s="26" t="s">
        <v>25</v>
      </c>
      <c r="U6" s="27" t="s">
        <v>26</v>
      </c>
    </row>
    <row r="7" spans="1:21" x14ac:dyDescent="0.2">
      <c r="A7" s="15" t="s">
        <v>27</v>
      </c>
      <c r="B7" s="34">
        <v>1</v>
      </c>
      <c r="C7" s="2">
        <v>70.83</v>
      </c>
      <c r="D7" s="2">
        <v>-31</v>
      </c>
      <c r="E7" s="2">
        <v>523.9</v>
      </c>
      <c r="F7" s="34">
        <v>564.73</v>
      </c>
      <c r="G7" s="2">
        <v>-694.73</v>
      </c>
      <c r="H7" s="2">
        <v>133</v>
      </c>
      <c r="I7" s="2">
        <v>3.0000000000001137</v>
      </c>
      <c r="J7" s="2">
        <v>4.612903225806452</v>
      </c>
      <c r="K7" s="2">
        <v>560</v>
      </c>
      <c r="L7" s="2">
        <v>630</v>
      </c>
      <c r="M7" s="2">
        <v>-556</v>
      </c>
      <c r="N7" s="2">
        <v>-133</v>
      </c>
      <c r="O7" s="3">
        <v>59</v>
      </c>
      <c r="P7" s="33" t="s">
        <v>28</v>
      </c>
      <c r="Q7" s="2">
        <v>560</v>
      </c>
      <c r="R7" s="2">
        <v>548</v>
      </c>
      <c r="S7" s="2">
        <v>4.612903225806452</v>
      </c>
      <c r="T7" s="2">
        <v>548</v>
      </c>
      <c r="U7" s="2">
        <v>552.61290322580646</v>
      </c>
    </row>
    <row r="8" spans="1:21" x14ac:dyDescent="0.2">
      <c r="A8" s="16">
        <v>35582</v>
      </c>
      <c r="B8" s="2">
        <v>3</v>
      </c>
      <c r="C8" s="2">
        <v>155.5</v>
      </c>
      <c r="D8" s="2">
        <v>-20</v>
      </c>
      <c r="E8" s="2">
        <v>-137.5</v>
      </c>
      <c r="F8" s="2">
        <v>1</v>
      </c>
      <c r="G8" s="2">
        <v>-145</v>
      </c>
      <c r="H8" s="2">
        <v>145</v>
      </c>
      <c r="I8" s="2">
        <v>1</v>
      </c>
      <c r="J8" s="2">
        <v>3.7333333333333334</v>
      </c>
      <c r="K8" s="2">
        <v>560</v>
      </c>
      <c r="L8" s="2">
        <v>543</v>
      </c>
      <c r="M8" s="2">
        <v>-486</v>
      </c>
      <c r="N8" s="2">
        <v>-145</v>
      </c>
      <c r="O8" s="2">
        <v>147</v>
      </c>
      <c r="P8" s="3" t="s">
        <v>28</v>
      </c>
      <c r="Q8" s="2">
        <v>619</v>
      </c>
      <c r="R8" s="2">
        <v>536</v>
      </c>
      <c r="S8" s="2">
        <v>3.7333333333333334</v>
      </c>
      <c r="T8" s="2">
        <v>536</v>
      </c>
      <c r="U8" s="2">
        <v>539.73333333333335</v>
      </c>
    </row>
    <row r="9" spans="1:21" x14ac:dyDescent="0.2">
      <c r="A9" s="14">
        <v>35612</v>
      </c>
      <c r="B9" s="2">
        <v>1</v>
      </c>
      <c r="C9" s="2">
        <v>-518</v>
      </c>
      <c r="D9" s="2">
        <v>-64</v>
      </c>
      <c r="E9" s="2">
        <v>1017</v>
      </c>
      <c r="F9" s="2">
        <v>436</v>
      </c>
      <c r="G9" s="2">
        <v>-687</v>
      </c>
      <c r="H9" s="2">
        <v>252</v>
      </c>
      <c r="I9" s="2">
        <v>1</v>
      </c>
      <c r="J9" s="2">
        <v>2.129032258064516</v>
      </c>
      <c r="K9" s="2">
        <v>619</v>
      </c>
      <c r="L9" s="2">
        <v>630</v>
      </c>
      <c r="M9" s="2">
        <v>-568</v>
      </c>
      <c r="N9" s="2">
        <v>-252</v>
      </c>
      <c r="O9" s="2">
        <v>207</v>
      </c>
      <c r="P9" s="3" t="s">
        <v>28</v>
      </c>
      <c r="Q9" s="2">
        <v>636</v>
      </c>
      <c r="R9" s="2">
        <v>546</v>
      </c>
      <c r="S9" s="2">
        <v>2.129032258064516</v>
      </c>
      <c r="T9" s="2">
        <v>546</v>
      </c>
      <c r="U9" s="2">
        <v>548.12903225806451</v>
      </c>
    </row>
    <row r="10" spans="1:21" x14ac:dyDescent="0.2">
      <c r="A10" s="14">
        <v>35643</v>
      </c>
      <c r="B10" s="2">
        <v>1</v>
      </c>
      <c r="C10" s="2">
        <v>354</v>
      </c>
      <c r="D10" s="2">
        <v>155</v>
      </c>
      <c r="E10" s="2">
        <v>126</v>
      </c>
      <c r="F10" s="2">
        <v>636</v>
      </c>
      <c r="G10" s="2">
        <v>-762</v>
      </c>
      <c r="H10" s="2">
        <v>126</v>
      </c>
      <c r="I10" s="2">
        <v>0</v>
      </c>
      <c r="J10" s="2">
        <v>2.806451612903226</v>
      </c>
      <c r="K10" s="2">
        <v>636</v>
      </c>
      <c r="L10" s="2">
        <v>615</v>
      </c>
      <c r="M10" s="2">
        <v>-571</v>
      </c>
      <c r="N10" s="2">
        <v>-126</v>
      </c>
      <c r="O10" s="2">
        <v>59</v>
      </c>
      <c r="P10" s="3" t="s">
        <v>28</v>
      </c>
      <c r="Q10" s="2">
        <v>613</v>
      </c>
      <c r="R10" s="2">
        <v>546.85714285714289</v>
      </c>
      <c r="S10" s="2">
        <v>2.806451612903226</v>
      </c>
      <c r="T10" s="2">
        <v>546.85714285714289</v>
      </c>
      <c r="U10" s="2">
        <v>549.66359447004606</v>
      </c>
    </row>
    <row r="11" spans="1:21" x14ac:dyDescent="0.2">
      <c r="A11" s="14">
        <v>35674</v>
      </c>
      <c r="B11" s="20">
        <v>0</v>
      </c>
      <c r="C11" s="2">
        <v>242.3</v>
      </c>
      <c r="D11" s="2">
        <v>154</v>
      </c>
      <c r="E11" s="2">
        <v>369</v>
      </c>
      <c r="F11" s="2">
        <v>765.3</v>
      </c>
      <c r="G11" s="2">
        <v>-896.3</v>
      </c>
      <c r="H11" s="2">
        <v>132</v>
      </c>
      <c r="I11" s="2">
        <v>1</v>
      </c>
      <c r="J11" s="2">
        <v>3.3103448275862069</v>
      </c>
      <c r="K11" s="2">
        <v>613</v>
      </c>
      <c r="L11" s="2">
        <v>630</v>
      </c>
      <c r="M11" s="2">
        <v>-540</v>
      </c>
      <c r="N11" s="2">
        <v>-132</v>
      </c>
      <c r="O11" s="3">
        <v>65</v>
      </c>
      <c r="P11" s="3" t="s">
        <v>28</v>
      </c>
      <c r="Q11" s="2">
        <v>636</v>
      </c>
      <c r="R11" s="2">
        <v>544.13636363636363</v>
      </c>
      <c r="S11" s="2">
        <v>3.3103448275862069</v>
      </c>
      <c r="T11" s="2">
        <v>544.13636363636363</v>
      </c>
      <c r="U11" s="2">
        <v>547.44670846394979</v>
      </c>
    </row>
    <row r="12" spans="1:21" x14ac:dyDescent="0.2">
      <c r="A12" s="14">
        <v>35704</v>
      </c>
      <c r="B12" s="2">
        <v>1</v>
      </c>
      <c r="C12" s="2">
        <v>-18.600000000000001</v>
      </c>
      <c r="D12" s="2">
        <v>-53</v>
      </c>
      <c r="E12" s="2">
        <v>365</v>
      </c>
      <c r="F12" s="2">
        <v>294.39999999999998</v>
      </c>
      <c r="G12" s="2">
        <v>-419.4</v>
      </c>
      <c r="H12" s="2">
        <v>126</v>
      </c>
      <c r="I12" s="2">
        <v>0.99999999999988631</v>
      </c>
      <c r="J12" s="2">
        <v>6.774193548387097</v>
      </c>
      <c r="K12" s="2">
        <v>636</v>
      </c>
      <c r="L12" s="2">
        <v>630</v>
      </c>
      <c r="M12" s="2">
        <v>-538</v>
      </c>
      <c r="N12" s="2">
        <v>-126</v>
      </c>
      <c r="O12" s="2">
        <v>30</v>
      </c>
      <c r="P12" s="3" t="s">
        <v>28</v>
      </c>
      <c r="Q12" s="2">
        <v>632</v>
      </c>
      <c r="R12" s="2">
        <v>551.90909090909088</v>
      </c>
      <c r="S12" s="2">
        <v>6.774193548387097</v>
      </c>
      <c r="T12" s="2">
        <v>551.90909090909088</v>
      </c>
      <c r="U12" s="2">
        <v>558.68328445747795</v>
      </c>
    </row>
    <row r="13" spans="1:21" x14ac:dyDescent="0.2">
      <c r="A13" s="14">
        <v>35735</v>
      </c>
      <c r="B13" s="2">
        <v>1</v>
      </c>
      <c r="C13" s="2">
        <v>-788</v>
      </c>
      <c r="D13" s="2">
        <v>-42</v>
      </c>
      <c r="E13" s="2">
        <v>942</v>
      </c>
      <c r="F13" s="2">
        <v>113</v>
      </c>
      <c r="G13" s="2">
        <v>-234</v>
      </c>
      <c r="H13" s="2">
        <v>123</v>
      </c>
      <c r="I13" s="2">
        <v>2</v>
      </c>
      <c r="J13" s="2">
        <v>2.74</v>
      </c>
      <c r="K13" s="2">
        <v>632</v>
      </c>
      <c r="L13" s="2">
        <v>560</v>
      </c>
      <c r="M13" s="2">
        <v>-553</v>
      </c>
      <c r="N13" s="2">
        <v>-123</v>
      </c>
      <c r="O13" s="3">
        <v>119</v>
      </c>
      <c r="P13" s="3" t="s">
        <v>28</v>
      </c>
      <c r="Q13" s="2">
        <v>635</v>
      </c>
      <c r="R13" s="2">
        <v>560.20000000000005</v>
      </c>
      <c r="S13" s="2">
        <v>2.74</v>
      </c>
      <c r="T13" s="2">
        <v>560.20000000000005</v>
      </c>
      <c r="U13" s="2">
        <v>562.94000000000005</v>
      </c>
    </row>
    <row r="14" spans="1:21" x14ac:dyDescent="0.2">
      <c r="A14" s="14">
        <v>35765</v>
      </c>
      <c r="B14" s="2">
        <v>2</v>
      </c>
      <c r="C14" s="2">
        <v>101</v>
      </c>
      <c r="D14" s="2">
        <v>-181</v>
      </c>
      <c r="E14" s="2">
        <v>-527</v>
      </c>
      <c r="F14" s="2">
        <v>-605</v>
      </c>
      <c r="G14" s="2">
        <v>174</v>
      </c>
      <c r="H14" s="2">
        <v>432</v>
      </c>
      <c r="I14" s="2">
        <v>1</v>
      </c>
      <c r="J14" s="2">
        <v>18.354838709677416</v>
      </c>
      <c r="K14" s="2">
        <v>635</v>
      </c>
      <c r="L14" s="2">
        <v>700</v>
      </c>
      <c r="M14" s="2">
        <v>-547</v>
      </c>
      <c r="N14" s="2">
        <v>-432</v>
      </c>
      <c r="O14" s="2">
        <v>280</v>
      </c>
      <c r="P14" s="3" t="s">
        <v>28</v>
      </c>
      <c r="Q14" s="2">
        <v>636</v>
      </c>
      <c r="R14" s="2">
        <v>538.19047619047615</v>
      </c>
      <c r="S14" s="2">
        <v>18.354838709677416</v>
      </c>
      <c r="T14" s="2">
        <v>538.19047619047615</v>
      </c>
      <c r="U14" s="2">
        <v>556.54531490015358</v>
      </c>
    </row>
    <row r="15" spans="1:21" x14ac:dyDescent="0.2">
      <c r="A15" s="14">
        <v>35796</v>
      </c>
      <c r="B15" s="2">
        <v>1</v>
      </c>
      <c r="C15" s="2">
        <v>-400.7</v>
      </c>
      <c r="D15" s="2">
        <v>193</v>
      </c>
      <c r="E15" s="2">
        <v>937</v>
      </c>
      <c r="F15" s="2">
        <v>730.3</v>
      </c>
      <c r="G15" s="2">
        <v>-837.3</v>
      </c>
      <c r="H15" s="2">
        <v>108</v>
      </c>
      <c r="I15" s="2">
        <v>1</v>
      </c>
      <c r="J15" s="2">
        <v>7.1633333333333331</v>
      </c>
      <c r="K15" s="2">
        <v>636</v>
      </c>
      <c r="L15" s="2">
        <v>560</v>
      </c>
      <c r="M15" s="2">
        <v>-503</v>
      </c>
      <c r="N15" s="2">
        <v>-108</v>
      </c>
      <c r="O15" s="2">
        <v>48</v>
      </c>
      <c r="P15" s="3" t="s">
        <v>28</v>
      </c>
      <c r="Q15" s="2">
        <v>633</v>
      </c>
      <c r="R15" s="2">
        <v>564.5</v>
      </c>
      <c r="S15" s="2">
        <v>7.1633333333333331</v>
      </c>
      <c r="T15" s="2">
        <v>564.5</v>
      </c>
      <c r="U15" s="2">
        <v>571.6633333333333</v>
      </c>
    </row>
    <row r="16" spans="1:21" x14ac:dyDescent="0.2">
      <c r="A16" s="14">
        <v>35827</v>
      </c>
      <c r="B16" s="2">
        <v>1</v>
      </c>
      <c r="C16" s="2">
        <v>-320</v>
      </c>
      <c r="D16" s="2">
        <v>93</v>
      </c>
      <c r="E16" s="2">
        <v>266</v>
      </c>
      <c r="F16" s="2">
        <v>39.999999999999886</v>
      </c>
      <c r="G16" s="2">
        <v>-221</v>
      </c>
      <c r="H16" s="2">
        <v>183</v>
      </c>
      <c r="I16" s="2">
        <v>1.9999999999998863</v>
      </c>
      <c r="J16" s="2">
        <v>4.5357142857142856</v>
      </c>
      <c r="K16" s="2">
        <v>633</v>
      </c>
      <c r="L16" s="2">
        <v>530</v>
      </c>
      <c r="M16" s="2">
        <v>-495</v>
      </c>
      <c r="N16" s="2">
        <v>-183</v>
      </c>
      <c r="O16" s="2">
        <v>73</v>
      </c>
      <c r="P16" s="3" t="s">
        <v>28</v>
      </c>
      <c r="Q16" s="2">
        <v>558</v>
      </c>
      <c r="R16" s="2">
        <v>543.42105263157896</v>
      </c>
      <c r="S16" s="2">
        <v>4.5357142857142856</v>
      </c>
      <c r="T16" s="2">
        <v>543.42105263157896</v>
      </c>
      <c r="U16" s="2">
        <v>547.95676691729329</v>
      </c>
    </row>
    <row r="17" spans="1:21" x14ac:dyDescent="0.2">
      <c r="A17" s="14">
        <v>35855</v>
      </c>
      <c r="B17" s="20">
        <v>0</v>
      </c>
      <c r="C17" s="2">
        <v>-388.9</v>
      </c>
      <c r="D17" s="2">
        <v>94</v>
      </c>
      <c r="E17" s="2">
        <v>587.9</v>
      </c>
      <c r="F17" s="2">
        <v>293</v>
      </c>
      <c r="G17" s="2">
        <v>-498</v>
      </c>
      <c r="H17" s="2">
        <v>207</v>
      </c>
      <c r="I17" s="2">
        <v>2.0000000000001137</v>
      </c>
      <c r="J17" s="2">
        <v>12.274193548387096</v>
      </c>
      <c r="K17" s="2">
        <v>558</v>
      </c>
      <c r="L17" s="2">
        <v>630</v>
      </c>
      <c r="M17" s="2">
        <v>-483</v>
      </c>
      <c r="N17" s="2">
        <v>-207</v>
      </c>
      <c r="O17" s="3">
        <v>138</v>
      </c>
      <c r="P17" s="3" t="s">
        <v>28</v>
      </c>
      <c r="Q17" s="2">
        <v>636</v>
      </c>
      <c r="R17" s="2">
        <v>523.59090909090912</v>
      </c>
      <c r="S17" s="2">
        <v>12.274193548387096</v>
      </c>
      <c r="T17" s="2">
        <v>523.59090909090912</v>
      </c>
      <c r="U17" s="2">
        <v>535.8651026392962</v>
      </c>
    </row>
    <row r="18" spans="1:21" x14ac:dyDescent="0.2">
      <c r="A18" s="14">
        <v>35886</v>
      </c>
      <c r="B18" s="2">
        <v>2</v>
      </c>
      <c r="C18" s="2">
        <v>115</v>
      </c>
      <c r="D18" s="2">
        <v>349</v>
      </c>
      <c r="E18" s="2">
        <v>-486</v>
      </c>
      <c r="F18" s="2">
        <v>-20</v>
      </c>
      <c r="G18" s="2">
        <v>-145</v>
      </c>
      <c r="H18" s="2">
        <v>166</v>
      </c>
      <c r="I18" s="2">
        <v>1</v>
      </c>
      <c r="J18" s="2">
        <v>5.0666666666666664</v>
      </c>
      <c r="K18" s="2">
        <v>636</v>
      </c>
      <c r="L18" s="2">
        <v>560</v>
      </c>
      <c r="M18" s="2">
        <v>-498</v>
      </c>
      <c r="N18" s="2">
        <v>-166</v>
      </c>
      <c r="O18" s="2">
        <v>58</v>
      </c>
      <c r="P18" s="3" t="s">
        <v>28</v>
      </c>
      <c r="Q18" s="2">
        <v>590</v>
      </c>
      <c r="R18" s="2">
        <v>551.6</v>
      </c>
      <c r="S18" s="2">
        <v>5.0666666666666664</v>
      </c>
      <c r="T18" s="2">
        <v>551.6</v>
      </c>
      <c r="U18" s="2">
        <v>556.66666666666674</v>
      </c>
    </row>
    <row r="19" spans="1:21" x14ac:dyDescent="0.2">
      <c r="A19" s="14">
        <v>35916</v>
      </c>
      <c r="B19" s="2">
        <v>1</v>
      </c>
      <c r="C19" s="2">
        <v>224</v>
      </c>
      <c r="D19" s="2">
        <v>191</v>
      </c>
      <c r="E19" s="2">
        <v>-161</v>
      </c>
      <c r="F19" s="2">
        <v>255</v>
      </c>
      <c r="G19" s="2">
        <v>-424</v>
      </c>
      <c r="H19" s="2">
        <v>180</v>
      </c>
      <c r="I19" s="2">
        <v>11</v>
      </c>
      <c r="J19" s="2">
        <v>4.096774193548387</v>
      </c>
      <c r="K19" s="2">
        <v>590</v>
      </c>
      <c r="L19" s="2">
        <v>630</v>
      </c>
      <c r="M19" s="2">
        <v>-510</v>
      </c>
      <c r="N19" s="2">
        <v>-180</v>
      </c>
      <c r="O19" s="2">
        <v>106</v>
      </c>
      <c r="P19" s="2" t="s">
        <v>28</v>
      </c>
      <c r="Q19" s="2">
        <v>636</v>
      </c>
      <c r="R19" s="2">
        <v>545.33333333333337</v>
      </c>
      <c r="S19" s="2">
        <v>4.096774193548387</v>
      </c>
      <c r="T19" s="2">
        <v>545.33333333333337</v>
      </c>
      <c r="U19" s="2">
        <v>549.43010752688178</v>
      </c>
    </row>
    <row r="20" spans="1:21" x14ac:dyDescent="0.2">
      <c r="A20" s="14">
        <v>35947</v>
      </c>
      <c r="B20" s="2">
        <v>11</v>
      </c>
      <c r="C20" s="2">
        <v>47</v>
      </c>
      <c r="D20" s="2">
        <v>155</v>
      </c>
      <c r="E20" s="2">
        <v>-221</v>
      </c>
      <c r="F20" s="2">
        <v>-8</v>
      </c>
      <c r="G20" s="2">
        <v>-439</v>
      </c>
      <c r="H20" s="2">
        <v>449</v>
      </c>
      <c r="I20" s="2">
        <v>2</v>
      </c>
      <c r="J20" s="2">
        <v>7.3330769230769173</v>
      </c>
      <c r="K20" s="2">
        <v>636</v>
      </c>
      <c r="L20" s="2">
        <v>615</v>
      </c>
      <c r="M20" s="2">
        <v>-397</v>
      </c>
      <c r="N20" s="2">
        <v>-449</v>
      </c>
      <c r="O20" s="2">
        <v>241</v>
      </c>
      <c r="P20" s="2" t="s">
        <v>28</v>
      </c>
      <c r="Q20" s="2">
        <v>646</v>
      </c>
      <c r="R20" s="2">
        <v>532.42857142857144</v>
      </c>
      <c r="S20" s="2">
        <v>7.3330769230769173</v>
      </c>
      <c r="T20" s="2">
        <v>532.42857142857144</v>
      </c>
      <c r="U20" s="2">
        <v>539.76164835164832</v>
      </c>
    </row>
    <row r="21" spans="1:21" x14ac:dyDescent="0.2">
      <c r="A21" s="14">
        <v>35977</v>
      </c>
      <c r="B21" s="2">
        <v>2</v>
      </c>
      <c r="C21" s="2">
        <v>-420.6</v>
      </c>
      <c r="D21" s="2">
        <v>-19</v>
      </c>
      <c r="E21" s="2">
        <v>1080</v>
      </c>
      <c r="F21" s="2">
        <v>642.4</v>
      </c>
      <c r="G21" s="2">
        <v>-805.4</v>
      </c>
      <c r="H21" s="2">
        <v>164</v>
      </c>
      <c r="I21" s="2">
        <v>1</v>
      </c>
      <c r="J21" s="2">
        <v>5.96</v>
      </c>
      <c r="K21" s="2">
        <v>646</v>
      </c>
      <c r="L21" s="2">
        <v>630</v>
      </c>
      <c r="M21" s="2">
        <v>-531</v>
      </c>
      <c r="N21" s="2">
        <v>-164</v>
      </c>
      <c r="O21" s="2">
        <v>58</v>
      </c>
      <c r="P21" s="2" t="s">
        <v>28</v>
      </c>
      <c r="Q21" s="2">
        <v>639</v>
      </c>
      <c r="R21" s="2">
        <v>546.17391304347825</v>
      </c>
      <c r="S21" s="2">
        <v>5.96</v>
      </c>
      <c r="T21" s="2">
        <v>546.17391304347825</v>
      </c>
      <c r="U21" s="2">
        <v>552.13391304347829</v>
      </c>
    </row>
    <row r="22" spans="1:21" x14ac:dyDescent="0.2">
      <c r="A22" s="14">
        <v>36008</v>
      </c>
      <c r="B22" s="2">
        <v>1</v>
      </c>
      <c r="C22" s="2">
        <v>347</v>
      </c>
      <c r="D22" s="2">
        <v>14</v>
      </c>
      <c r="E22" s="2">
        <v>-337</v>
      </c>
      <c r="F22" s="2">
        <v>25</v>
      </c>
      <c r="G22" s="2">
        <v>-156</v>
      </c>
      <c r="H22" s="2">
        <v>132</v>
      </c>
      <c r="I22" s="2">
        <v>1</v>
      </c>
      <c r="J22" s="2">
        <v>2.870967741935484</v>
      </c>
      <c r="K22" s="2">
        <v>639</v>
      </c>
      <c r="L22" s="2">
        <v>508</v>
      </c>
      <c r="M22" s="2">
        <v>-463</v>
      </c>
      <c r="N22" s="2">
        <v>-132</v>
      </c>
      <c r="O22" s="2">
        <v>37</v>
      </c>
      <c r="P22" s="2" t="s">
        <v>28</v>
      </c>
      <c r="Q22" s="2">
        <v>589</v>
      </c>
      <c r="R22" s="2">
        <v>510.04761904761904</v>
      </c>
      <c r="S22" s="2">
        <v>2.870967741935484</v>
      </c>
      <c r="T22" s="2">
        <v>510.04761904761904</v>
      </c>
      <c r="U22" s="2">
        <v>512.91858678955452</v>
      </c>
    </row>
    <row r="23" spans="1:21" x14ac:dyDescent="0.2">
      <c r="A23" s="14">
        <v>36039</v>
      </c>
      <c r="B23" s="20">
        <v>1</v>
      </c>
      <c r="C23" s="2">
        <v>367.6</v>
      </c>
      <c r="D23" s="2">
        <v>113.4</v>
      </c>
      <c r="E23" s="2">
        <v>59</v>
      </c>
      <c r="F23" s="2">
        <v>541</v>
      </c>
      <c r="G23" s="2">
        <v>-917</v>
      </c>
      <c r="H23" s="2">
        <v>377</v>
      </c>
      <c r="I23" s="2">
        <v>1</v>
      </c>
      <c r="J23" s="2">
        <v>7.6633333333333384</v>
      </c>
      <c r="K23" s="2">
        <v>589</v>
      </c>
      <c r="L23" s="2">
        <v>628</v>
      </c>
      <c r="M23" s="2">
        <v>-474</v>
      </c>
      <c r="N23" s="2">
        <v>-377</v>
      </c>
      <c r="O23" s="2">
        <v>279</v>
      </c>
      <c r="P23" s="2" t="s">
        <v>28</v>
      </c>
      <c r="Q23" s="2">
        <v>645</v>
      </c>
      <c r="R23" s="2">
        <v>527.77272727272725</v>
      </c>
      <c r="S23" s="2">
        <v>7.6633333333333384</v>
      </c>
      <c r="T23" s="2">
        <v>527.77272727272725</v>
      </c>
      <c r="U23" s="2">
        <v>535.43606060606055</v>
      </c>
    </row>
    <row r="24" spans="1:21" x14ac:dyDescent="0.2">
      <c r="A24" s="14">
        <v>36069</v>
      </c>
      <c r="B24" s="2">
        <v>1</v>
      </c>
      <c r="C24" s="2">
        <v>151.80000000000001</v>
      </c>
      <c r="D24" s="2">
        <v>-4</v>
      </c>
      <c r="E24" s="2">
        <v>276</v>
      </c>
      <c r="F24" s="2">
        <v>424.8</v>
      </c>
      <c r="G24" s="2">
        <v>-758.8</v>
      </c>
      <c r="H24" s="2">
        <v>335</v>
      </c>
      <c r="I24" s="2">
        <v>0.99999999999977263</v>
      </c>
      <c r="J24" s="2">
        <v>10.616666666666733</v>
      </c>
      <c r="K24" s="2">
        <v>645</v>
      </c>
      <c r="L24" s="2">
        <v>600</v>
      </c>
      <c r="M24" s="2">
        <v>-559</v>
      </c>
      <c r="N24" s="2">
        <v>-335</v>
      </c>
      <c r="O24" s="2">
        <v>280</v>
      </c>
      <c r="P24" s="2" t="s">
        <v>28</v>
      </c>
      <c r="Q24" s="2">
        <v>631</v>
      </c>
      <c r="R24" s="2">
        <v>541.61904761904759</v>
      </c>
      <c r="S24" s="2">
        <v>10.616666666666733</v>
      </c>
      <c r="T24" s="2">
        <v>541.61904761904759</v>
      </c>
      <c r="U24" s="2">
        <v>552.23571428571438</v>
      </c>
    </row>
    <row r="25" spans="1:21" x14ac:dyDescent="0.2">
      <c r="A25" s="14">
        <v>36100</v>
      </c>
      <c r="B25" s="2">
        <v>1</v>
      </c>
      <c r="C25" s="2">
        <v>-741.19999999999936</v>
      </c>
      <c r="D25" s="2">
        <v>-86.000000000000455</v>
      </c>
      <c r="E25" s="2">
        <v>565</v>
      </c>
      <c r="F25" s="2">
        <v>-261.2</v>
      </c>
      <c r="G25" s="2">
        <v>176</v>
      </c>
      <c r="H25" s="2">
        <v>86</v>
      </c>
      <c r="I25" s="2">
        <v>0.8000000000001819</v>
      </c>
      <c r="J25" s="2">
        <v>2.0099999999999456</v>
      </c>
      <c r="K25" s="2">
        <v>631</v>
      </c>
      <c r="L25" s="2">
        <v>480</v>
      </c>
      <c r="M25" s="2">
        <v>-517</v>
      </c>
      <c r="N25" s="2">
        <v>-86</v>
      </c>
      <c r="O25" s="2">
        <v>72</v>
      </c>
      <c r="P25" s="2" t="s">
        <v>28</v>
      </c>
      <c r="Q25" s="2">
        <v>580</v>
      </c>
      <c r="R25" s="2">
        <v>493.09523809523807</v>
      </c>
      <c r="S25" s="2">
        <v>2.0099999999999456</v>
      </c>
      <c r="T25" s="2">
        <v>493.09523809523807</v>
      </c>
      <c r="U25" s="2">
        <v>495.10523809523801</v>
      </c>
    </row>
    <row r="26" spans="1:21" x14ac:dyDescent="0.2">
      <c r="A26" s="14">
        <v>36130</v>
      </c>
      <c r="B26" s="2">
        <v>0.8000000000001819</v>
      </c>
      <c r="C26" s="2">
        <v>968.1</v>
      </c>
      <c r="D26" s="2">
        <v>-445</v>
      </c>
      <c r="E26" s="2">
        <v>-128</v>
      </c>
      <c r="F26" s="2">
        <v>395.9</v>
      </c>
      <c r="G26" s="2">
        <v>-470</v>
      </c>
      <c r="H26" s="2">
        <v>79</v>
      </c>
      <c r="I26" s="2">
        <v>4.8999999999998636</v>
      </c>
      <c r="J26" s="2">
        <v>2.0645161290322434</v>
      </c>
      <c r="K26" s="2">
        <v>580</v>
      </c>
      <c r="L26" s="2">
        <v>540</v>
      </c>
      <c r="M26" s="2">
        <v>-572</v>
      </c>
      <c r="N26" s="2">
        <v>-79</v>
      </c>
      <c r="O26" s="2">
        <v>71</v>
      </c>
      <c r="P26" s="2" t="s">
        <v>28</v>
      </c>
      <c r="Q26" s="2">
        <v>540</v>
      </c>
      <c r="R26" s="2">
        <v>468.75</v>
      </c>
      <c r="S26" s="2">
        <v>2.0645161290322434</v>
      </c>
      <c r="T26" s="2">
        <v>468.75</v>
      </c>
      <c r="U26" s="2">
        <v>470.81451612903209</v>
      </c>
    </row>
    <row r="27" spans="1:21" x14ac:dyDescent="0.2">
      <c r="A27" s="14">
        <v>36161</v>
      </c>
      <c r="B27" s="2">
        <v>5</v>
      </c>
      <c r="C27" s="2">
        <v>-1036.8800000000001</v>
      </c>
      <c r="D27" s="2">
        <v>151</v>
      </c>
      <c r="E27" s="2">
        <v>389</v>
      </c>
      <c r="F27" s="2">
        <v>-491.88</v>
      </c>
      <c r="G27" s="2">
        <v>404</v>
      </c>
      <c r="H27" s="2">
        <v>90</v>
      </c>
      <c r="I27" s="2">
        <v>2.1200000000003456</v>
      </c>
      <c r="J27" s="2">
        <v>9.6254838709677522</v>
      </c>
      <c r="K27" s="2">
        <v>540</v>
      </c>
      <c r="L27" s="2">
        <v>540</v>
      </c>
      <c r="M27" s="2">
        <v>-452</v>
      </c>
      <c r="N27" s="2">
        <v>-90</v>
      </c>
      <c r="O27" s="2">
        <v>41</v>
      </c>
      <c r="P27" s="2" t="s">
        <v>28</v>
      </c>
      <c r="Q27" s="2">
        <v>579</v>
      </c>
      <c r="R27" s="2">
        <v>478.31578947368399</v>
      </c>
      <c r="S27" s="2">
        <v>9.6254838709677522</v>
      </c>
      <c r="T27" s="2">
        <v>478.31578947368399</v>
      </c>
      <c r="U27" s="2">
        <v>487.94127334465173</v>
      </c>
    </row>
    <row r="28" spans="1:21" s="18" customFormat="1" x14ac:dyDescent="0.2">
      <c r="A28" s="17">
        <v>36192</v>
      </c>
      <c r="B28" s="2">
        <v>2.1200000000003456</v>
      </c>
      <c r="C28" s="2">
        <v>170.67600000000027</v>
      </c>
      <c r="D28" s="2">
        <v>133.99999999999937</v>
      </c>
      <c r="E28" s="2">
        <v>579</v>
      </c>
      <c r="F28" s="2">
        <v>885.79600000000005</v>
      </c>
      <c r="G28" s="2">
        <v>-702.47600000000011</v>
      </c>
      <c r="H28" s="2">
        <v>263</v>
      </c>
      <c r="I28" s="2">
        <v>446.32</v>
      </c>
      <c r="J28" s="2">
        <v>70.788464285714298</v>
      </c>
      <c r="K28" s="2">
        <v>579</v>
      </c>
      <c r="L28" s="2">
        <v>480</v>
      </c>
      <c r="M28" s="2">
        <v>-428</v>
      </c>
      <c r="N28" s="2">
        <v>-263</v>
      </c>
      <c r="O28" s="2">
        <v>187</v>
      </c>
      <c r="P28" s="2" t="s">
        <v>28</v>
      </c>
      <c r="Q28" s="2">
        <v>555</v>
      </c>
      <c r="R28" s="2">
        <v>469</v>
      </c>
      <c r="S28" s="2">
        <v>70.788464285714298</v>
      </c>
      <c r="T28" s="2">
        <v>469</v>
      </c>
      <c r="U28" s="3">
        <f>SUM(S28:T28)</f>
        <v>539.78846428571433</v>
      </c>
    </row>
    <row r="29" spans="1:21" s="18" customFormat="1" x14ac:dyDescent="0.2">
      <c r="A29" s="17">
        <v>36220</v>
      </c>
      <c r="B29" s="20">
        <v>446.32</v>
      </c>
      <c r="C29" s="2">
        <v>-310.50022800000045</v>
      </c>
      <c r="D29" s="2">
        <v>-47.599622999999468</v>
      </c>
      <c r="E29" s="2">
        <v>564.77985100000001</v>
      </c>
      <c r="F29" s="2">
        <v>653</v>
      </c>
      <c r="G29" s="2">
        <v>-690</v>
      </c>
      <c r="H29" s="2">
        <v>61</v>
      </c>
      <c r="I29" s="2">
        <v>24.000000000000114</v>
      </c>
      <c r="J29" s="2">
        <v>8.7161521612902941</v>
      </c>
      <c r="K29" s="2">
        <v>555</v>
      </c>
      <c r="L29" s="2">
        <v>240</v>
      </c>
      <c r="M29" s="2">
        <v>-479</v>
      </c>
      <c r="N29" s="2">
        <v>-61</v>
      </c>
      <c r="O29" s="2">
        <v>45</v>
      </c>
      <c r="P29" s="2" t="s">
        <v>28</v>
      </c>
      <c r="Q29" s="2">
        <v>300</v>
      </c>
      <c r="R29" s="2">
        <v>379.26086956521715</v>
      </c>
      <c r="S29" s="2">
        <v>8.7161521612902941</v>
      </c>
      <c r="T29" s="2">
        <v>379.26086956521715</v>
      </c>
      <c r="U29" s="3">
        <f>SUM(S29:T29)</f>
        <v>387.97702172650742</v>
      </c>
    </row>
    <row r="30" spans="1:21" x14ac:dyDescent="0.2">
      <c r="L30"/>
      <c r="M30"/>
      <c r="N30"/>
      <c r="O30"/>
      <c r="P30"/>
      <c r="Q30"/>
      <c r="R30"/>
      <c r="S30"/>
      <c r="T30"/>
      <c r="U30"/>
    </row>
  </sheetData>
  <phoneticPr fontId="0" type="noConversion"/>
  <pageMargins left="0.75" right="0.75" top="1" bottom="1" header="0.5" footer="0.5"/>
  <pageSetup paperSize="9" scale="50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S121"/>
  <sheetViews>
    <sheetView workbookViewId="0">
      <pane xSplit="1" ySplit="5" topLeftCell="J87" activePane="bottomRight" state="frozen"/>
      <selection pane="topRight" activeCell="B1" sqref="B1"/>
      <selection pane="bottomLeft" activeCell="A6" sqref="A6"/>
      <selection pane="bottomRight"/>
    </sheetView>
  </sheetViews>
  <sheetFormatPr defaultRowHeight="12.75" x14ac:dyDescent="0.2"/>
  <cols>
    <col min="2" max="22" width="12.85546875" style="59" customWidth="1"/>
    <col min="23" max="23" width="10.140625" style="59" customWidth="1"/>
    <col min="24" max="29" width="12.85546875" style="59" customWidth="1"/>
    <col min="30" max="42" width="9.140625" style="5" customWidth="1"/>
  </cols>
  <sheetData>
    <row r="1" spans="1:42" s="1" customFormat="1" ht="12.75" customHeight="1" x14ac:dyDescent="0.25">
      <c r="A1" s="70" t="s">
        <v>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s="1" customFormat="1" ht="12.75" customHeight="1" x14ac:dyDescent="0.2">
      <c r="A2" s="10"/>
      <c r="B2" s="64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s="1" customFormat="1" ht="12" customHeight="1" x14ac:dyDescent="0.2">
      <c r="B3" s="56"/>
      <c r="C3" s="65"/>
      <c r="D3" s="65"/>
      <c r="E3" s="65"/>
      <c r="F3" s="65"/>
      <c r="G3" s="65"/>
      <c r="H3" s="65"/>
      <c r="I3" s="65"/>
      <c r="J3" s="63"/>
      <c r="K3" s="63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s="1" customFormat="1" x14ac:dyDescent="0.2">
      <c r="A4" s="101" t="s">
        <v>99</v>
      </c>
      <c r="B4" s="95" t="s">
        <v>7</v>
      </c>
      <c r="C4" s="95" t="s">
        <v>8</v>
      </c>
      <c r="D4" s="95" t="s">
        <v>30</v>
      </c>
      <c r="E4" s="90" t="s">
        <v>31</v>
      </c>
      <c r="F4" s="91"/>
      <c r="G4" s="91"/>
      <c r="H4" s="91"/>
      <c r="I4" s="94"/>
      <c r="J4" s="95" t="s">
        <v>38</v>
      </c>
      <c r="K4" s="95" t="s">
        <v>39</v>
      </c>
      <c r="L4" s="97" t="s">
        <v>32</v>
      </c>
      <c r="M4" s="91"/>
      <c r="N4" s="91"/>
      <c r="O4" s="91"/>
      <c r="P4" s="91"/>
      <c r="Q4" s="91"/>
      <c r="R4" s="91"/>
      <c r="S4" s="94"/>
      <c r="T4" s="95" t="s">
        <v>46</v>
      </c>
      <c r="U4" s="95" t="s">
        <v>15</v>
      </c>
      <c r="V4" s="90" t="s">
        <v>33</v>
      </c>
      <c r="W4" s="91"/>
      <c r="X4" s="91"/>
      <c r="Y4" s="91"/>
      <c r="Z4" s="91"/>
      <c r="AA4" s="91"/>
      <c r="AB4" s="91"/>
      <c r="AC4" s="92" t="s">
        <v>52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s="1" customFormat="1" ht="60" x14ac:dyDescent="0.2">
      <c r="A5" s="102"/>
      <c r="B5" s="96"/>
      <c r="C5" s="96"/>
      <c r="D5" s="96"/>
      <c r="E5" s="60" t="s">
        <v>35</v>
      </c>
      <c r="F5" s="67" t="s">
        <v>36</v>
      </c>
      <c r="G5" s="67" t="s">
        <v>100</v>
      </c>
      <c r="H5" s="67" t="s">
        <v>37</v>
      </c>
      <c r="I5" s="66" t="s">
        <v>34</v>
      </c>
      <c r="J5" s="96"/>
      <c r="K5" s="96"/>
      <c r="L5" s="60" t="s">
        <v>40</v>
      </c>
      <c r="M5" s="68" t="s">
        <v>41</v>
      </c>
      <c r="N5" s="67" t="s">
        <v>97</v>
      </c>
      <c r="O5" s="67" t="s">
        <v>42</v>
      </c>
      <c r="P5" s="67" t="s">
        <v>43</v>
      </c>
      <c r="Q5" s="67" t="s">
        <v>44</v>
      </c>
      <c r="R5" s="26" t="s">
        <v>94</v>
      </c>
      <c r="S5" s="62" t="s">
        <v>45</v>
      </c>
      <c r="T5" s="96"/>
      <c r="U5" s="96"/>
      <c r="V5" s="60" t="s">
        <v>47</v>
      </c>
      <c r="W5" s="68" t="s">
        <v>48</v>
      </c>
      <c r="X5" s="68" t="s">
        <v>96</v>
      </c>
      <c r="Y5" s="68" t="s">
        <v>49</v>
      </c>
      <c r="Z5" s="67" t="s">
        <v>50</v>
      </c>
      <c r="AA5" s="68" t="s">
        <v>51</v>
      </c>
      <c r="AB5" s="83" t="s">
        <v>95</v>
      </c>
      <c r="AC5" s="100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s="1" customFormat="1" ht="12" customHeight="1" x14ac:dyDescent="0.2">
      <c r="B6" s="69"/>
      <c r="C6" s="58"/>
      <c r="D6" s="58"/>
      <c r="E6" s="58"/>
      <c r="F6" s="56"/>
      <c r="G6" s="56"/>
      <c r="H6" s="56"/>
      <c r="I6" s="57"/>
      <c r="J6" s="56"/>
      <c r="K6" s="56"/>
      <c r="L6" s="57"/>
      <c r="M6" s="56"/>
      <c r="N6" s="56"/>
      <c r="O6" s="56"/>
      <c r="P6" s="56"/>
      <c r="Q6" s="57"/>
      <c r="R6" s="56"/>
      <c r="S6" s="56"/>
      <c r="T6" s="56"/>
      <c r="U6" s="57"/>
      <c r="V6" s="56"/>
      <c r="W6" s="56"/>
      <c r="X6" s="56"/>
      <c r="Y6" s="56"/>
      <c r="Z6" s="56"/>
      <c r="AA6" s="56"/>
      <c r="AB6" s="56"/>
      <c r="AC6" s="57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s="1" customFormat="1" ht="12" customHeight="1" x14ac:dyDescent="0.2">
      <c r="A7" s="7" t="s">
        <v>53</v>
      </c>
      <c r="B7" s="56">
        <v>24</v>
      </c>
      <c r="C7" s="56">
        <v>-687.63646199999903</v>
      </c>
      <c r="D7" s="56">
        <v>240.636461999999</v>
      </c>
      <c r="E7" s="56">
        <v>-359</v>
      </c>
      <c r="F7" s="56">
        <v>0</v>
      </c>
      <c r="G7" s="56">
        <v>-981</v>
      </c>
      <c r="H7" s="56">
        <v>675</v>
      </c>
      <c r="I7" s="56">
        <v>40</v>
      </c>
      <c r="J7" s="56">
        <v>11</v>
      </c>
      <c r="K7" s="56">
        <v>-1037</v>
      </c>
      <c r="L7" s="56">
        <v>1489</v>
      </c>
      <c r="M7" s="56">
        <v>0</v>
      </c>
      <c r="N7" s="56">
        <v>-577</v>
      </c>
      <c r="O7" s="56">
        <v>127</v>
      </c>
      <c r="P7" s="56">
        <v>0</v>
      </c>
      <c r="Q7" s="56">
        <v>0</v>
      </c>
      <c r="R7" s="5" t="s">
        <v>98</v>
      </c>
      <c r="S7" s="56">
        <v>1039</v>
      </c>
      <c r="T7" s="56">
        <v>2</v>
      </c>
      <c r="U7" s="56">
        <v>51.004096366666651</v>
      </c>
      <c r="V7" s="56">
        <v>2285</v>
      </c>
      <c r="W7" s="9">
        <v>0</v>
      </c>
      <c r="X7" s="56">
        <v>577</v>
      </c>
      <c r="Y7" s="56">
        <v>-780</v>
      </c>
      <c r="Z7" s="56">
        <v>0</v>
      </c>
      <c r="AA7" s="56">
        <v>0</v>
      </c>
      <c r="AB7" s="5" t="s">
        <v>98</v>
      </c>
      <c r="AC7" s="5">
        <f>SUM(V7:AB7)</f>
        <v>2082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s="1" customFormat="1" ht="12" customHeight="1" x14ac:dyDescent="0.2">
      <c r="A8" s="7" t="s">
        <v>54</v>
      </c>
      <c r="B8" s="56">
        <v>2</v>
      </c>
      <c r="C8" s="56">
        <v>-2120.8000000000002</v>
      </c>
      <c r="D8" s="56">
        <v>-63.200000000000273</v>
      </c>
      <c r="E8" s="56">
        <v>-349</v>
      </c>
      <c r="F8" s="56">
        <v>0</v>
      </c>
      <c r="G8" s="56">
        <v>-780</v>
      </c>
      <c r="H8" s="56">
        <v>675</v>
      </c>
      <c r="I8" s="56">
        <v>21</v>
      </c>
      <c r="J8" s="56">
        <v>-23</v>
      </c>
      <c r="K8" s="56">
        <v>-2638</v>
      </c>
      <c r="L8" s="56">
        <v>595</v>
      </c>
      <c r="M8" s="56">
        <v>0</v>
      </c>
      <c r="N8" s="56">
        <v>1173</v>
      </c>
      <c r="O8" s="56">
        <v>780</v>
      </c>
      <c r="P8" s="56">
        <v>92</v>
      </c>
      <c r="Q8" s="56">
        <v>0</v>
      </c>
      <c r="R8" s="5" t="s">
        <v>98</v>
      </c>
      <c r="S8" s="56">
        <v>2640</v>
      </c>
      <c r="T8" s="56">
        <v>2</v>
      </c>
      <c r="U8" s="56">
        <v>169.93477419354838</v>
      </c>
      <c r="V8" s="56">
        <v>2885</v>
      </c>
      <c r="W8" s="9">
        <v>0</v>
      </c>
      <c r="X8" s="56">
        <v>594</v>
      </c>
      <c r="Y8" s="56">
        <v>0</v>
      </c>
      <c r="Z8" s="56">
        <v>92</v>
      </c>
      <c r="AA8" s="56">
        <v>0</v>
      </c>
      <c r="AB8" s="5" t="s">
        <v>98</v>
      </c>
      <c r="AC8" s="5">
        <f t="shared" ref="AC8:AC71" si="0">SUM(V8:AB8)</f>
        <v>3571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s="1" customFormat="1" ht="12" customHeight="1" x14ac:dyDescent="0.2">
      <c r="A9" s="7" t="s">
        <v>55</v>
      </c>
      <c r="B9" s="56">
        <v>2</v>
      </c>
      <c r="C9" s="56">
        <v>142.41081999999983</v>
      </c>
      <c r="D9" s="56">
        <v>40.300000000000182</v>
      </c>
      <c r="E9" s="56">
        <v>-51</v>
      </c>
      <c r="F9" s="56">
        <v>19</v>
      </c>
      <c r="G9" s="56">
        <v>-975</v>
      </c>
      <c r="H9" s="56">
        <v>1250</v>
      </c>
      <c r="I9" s="56">
        <v>15</v>
      </c>
      <c r="J9" s="56">
        <v>78</v>
      </c>
      <c r="K9" s="56">
        <v>520.71082000000001</v>
      </c>
      <c r="L9" s="56">
        <v>-273.64482000000044</v>
      </c>
      <c r="M9" s="56">
        <v>0</v>
      </c>
      <c r="N9" s="56">
        <v>-595.15</v>
      </c>
      <c r="O9" s="56">
        <v>0</v>
      </c>
      <c r="P9" s="56">
        <v>350</v>
      </c>
      <c r="Q9" s="56">
        <v>0</v>
      </c>
      <c r="R9" s="5" t="s">
        <v>98</v>
      </c>
      <c r="S9" s="56">
        <v>-518.79482000000041</v>
      </c>
      <c r="T9" s="56">
        <v>1.9159999999995989</v>
      </c>
      <c r="U9" s="56">
        <v>78.90154206896554</v>
      </c>
      <c r="V9" s="56">
        <v>2620</v>
      </c>
      <c r="W9" s="9">
        <v>0</v>
      </c>
      <c r="X9" s="56">
        <v>0</v>
      </c>
      <c r="Y9" s="56">
        <v>0</v>
      </c>
      <c r="Z9" s="56">
        <v>442</v>
      </c>
      <c r="AA9" s="56">
        <v>0</v>
      </c>
      <c r="AB9" s="5" t="s">
        <v>98</v>
      </c>
      <c r="AC9" s="5">
        <f t="shared" si="0"/>
        <v>3062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s="1" customFormat="1" ht="12" customHeight="1" x14ac:dyDescent="0.2">
      <c r="A10" s="7" t="s">
        <v>56</v>
      </c>
      <c r="B10" s="56">
        <v>1</v>
      </c>
      <c r="C10" s="56">
        <v>4.1830000000001348</v>
      </c>
      <c r="D10" s="56">
        <v>-19.7</v>
      </c>
      <c r="E10" s="56">
        <v>-195</v>
      </c>
      <c r="F10" s="56">
        <v>0</v>
      </c>
      <c r="G10" s="56">
        <v>-780.05900000000008</v>
      </c>
      <c r="H10" s="56">
        <v>675</v>
      </c>
      <c r="I10" s="56">
        <v>124</v>
      </c>
      <c r="J10" s="56">
        <v>24</v>
      </c>
      <c r="K10" s="56">
        <v>-166.57599999999991</v>
      </c>
      <c r="L10" s="56">
        <v>-175.66124200000013</v>
      </c>
      <c r="M10" s="56">
        <v>0</v>
      </c>
      <c r="N10" s="56">
        <v>794.78300000000013</v>
      </c>
      <c r="O10" s="56">
        <v>0</v>
      </c>
      <c r="P10" s="56">
        <v>-442</v>
      </c>
      <c r="Q10" s="56">
        <v>0</v>
      </c>
      <c r="R10" s="5" t="s">
        <v>98</v>
      </c>
      <c r="S10" s="56">
        <v>177.121758</v>
      </c>
      <c r="T10" s="56">
        <v>10.545758000000092</v>
      </c>
      <c r="U10" s="56">
        <v>75.067160000000314</v>
      </c>
      <c r="V10" s="56">
        <v>2450</v>
      </c>
      <c r="W10" s="9">
        <v>0</v>
      </c>
      <c r="X10" s="56">
        <v>795</v>
      </c>
      <c r="Y10" s="56">
        <v>0</v>
      </c>
      <c r="Z10" s="56">
        <v>0</v>
      </c>
      <c r="AA10" s="56">
        <v>0</v>
      </c>
      <c r="AB10" s="5" t="s">
        <v>98</v>
      </c>
      <c r="AC10" s="5">
        <f t="shared" si="0"/>
        <v>3245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2" s="1" customFormat="1" ht="12" customHeight="1" x14ac:dyDescent="0.2">
      <c r="A11" s="7" t="s">
        <v>57</v>
      </c>
      <c r="B11" s="56">
        <v>10.545758000000262</v>
      </c>
      <c r="C11" s="56">
        <v>551.5</v>
      </c>
      <c r="D11" s="56">
        <v>-11</v>
      </c>
      <c r="E11" s="56">
        <v>-239.7</v>
      </c>
      <c r="F11" s="56">
        <v>0</v>
      </c>
      <c r="G11" s="56">
        <v>-780</v>
      </c>
      <c r="H11" s="56">
        <v>675</v>
      </c>
      <c r="I11" s="56">
        <v>43</v>
      </c>
      <c r="J11" s="56">
        <v>303.89999999999998</v>
      </c>
      <c r="K11" s="56">
        <v>553.24575800000025</v>
      </c>
      <c r="L11" s="56">
        <v>-542.44800000000032</v>
      </c>
      <c r="M11" s="56">
        <v>0</v>
      </c>
      <c r="N11" s="56">
        <v>-81.717950000000087</v>
      </c>
      <c r="O11" s="56">
        <v>0</v>
      </c>
      <c r="P11" s="56">
        <v>71</v>
      </c>
      <c r="Q11" s="56">
        <v>131</v>
      </c>
      <c r="R11" s="5" t="s">
        <v>98</v>
      </c>
      <c r="S11" s="56">
        <v>-422.16595000000041</v>
      </c>
      <c r="T11" s="56">
        <v>131.07980799999984</v>
      </c>
      <c r="U11" s="56">
        <v>23.090003548387305</v>
      </c>
      <c r="V11" s="56">
        <v>1915</v>
      </c>
      <c r="W11" s="9">
        <v>0</v>
      </c>
      <c r="X11" s="56">
        <v>716</v>
      </c>
      <c r="Y11" s="56">
        <v>0</v>
      </c>
      <c r="Z11" s="56">
        <v>71</v>
      </c>
      <c r="AA11" s="56">
        <v>131</v>
      </c>
      <c r="AB11" s="5" t="s">
        <v>98</v>
      </c>
      <c r="AC11" s="5">
        <f t="shared" si="0"/>
        <v>2833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s="1" customFormat="1" ht="12" customHeight="1" x14ac:dyDescent="0.2">
      <c r="A12" s="7" t="s">
        <v>58</v>
      </c>
      <c r="B12" s="61">
        <v>131</v>
      </c>
      <c r="C12" s="56">
        <v>264.75080800000012</v>
      </c>
      <c r="D12" s="56">
        <v>86</v>
      </c>
      <c r="E12" s="56">
        <v>-241</v>
      </c>
      <c r="F12" s="56">
        <v>0</v>
      </c>
      <c r="G12" s="56">
        <v>-972.17099999999994</v>
      </c>
      <c r="H12" s="56">
        <v>1325</v>
      </c>
      <c r="I12" s="56">
        <v>37</v>
      </c>
      <c r="J12" s="56">
        <v>-5.4</v>
      </c>
      <c r="K12" s="56">
        <v>625.17980800000021</v>
      </c>
      <c r="L12" s="56">
        <v>291.95400000000154</v>
      </c>
      <c r="M12" s="56">
        <v>0</v>
      </c>
      <c r="N12" s="56">
        <v>-718.16399999999999</v>
      </c>
      <c r="O12" s="56">
        <v>0</v>
      </c>
      <c r="P12" s="56">
        <v>-68</v>
      </c>
      <c r="Q12" s="56">
        <v>-81.661000000000058</v>
      </c>
      <c r="R12" s="5" t="s">
        <v>98</v>
      </c>
      <c r="S12" s="56">
        <v>-575.8709999999985</v>
      </c>
      <c r="T12" s="56">
        <v>49.308808000001704</v>
      </c>
      <c r="U12" s="56">
        <v>39.721213066666834</v>
      </c>
      <c r="V12" s="56">
        <v>2215</v>
      </c>
      <c r="W12" s="9">
        <v>0</v>
      </c>
      <c r="X12" s="56">
        <v>0</v>
      </c>
      <c r="Y12" s="56">
        <v>0</v>
      </c>
      <c r="Z12" s="56">
        <v>3</v>
      </c>
      <c r="AA12" s="56">
        <v>49</v>
      </c>
      <c r="AB12" s="5" t="s">
        <v>98</v>
      </c>
      <c r="AC12" s="5">
        <f t="shared" si="0"/>
        <v>2267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2" s="1" customFormat="1" ht="12" customHeight="1" x14ac:dyDescent="0.2">
      <c r="A13" s="7" t="s">
        <v>59</v>
      </c>
      <c r="B13" s="56">
        <v>49.308808000000198</v>
      </c>
      <c r="C13" s="56">
        <v>-15.127678000000117</v>
      </c>
      <c r="D13" s="56">
        <v>263.69200000000001</v>
      </c>
      <c r="E13" s="56">
        <v>0</v>
      </c>
      <c r="F13" s="56">
        <v>0</v>
      </c>
      <c r="G13" s="56">
        <v>-778.77600000000007</v>
      </c>
      <c r="H13" s="56">
        <v>675</v>
      </c>
      <c r="I13" s="56">
        <v>40</v>
      </c>
      <c r="J13" s="56">
        <v>60</v>
      </c>
      <c r="K13" s="56">
        <v>294.09712999999999</v>
      </c>
      <c r="L13" s="56">
        <v>-949.41213000000062</v>
      </c>
      <c r="M13" s="56">
        <v>0</v>
      </c>
      <c r="N13" s="56">
        <v>725.31500000000005</v>
      </c>
      <c r="O13" s="56">
        <v>0</v>
      </c>
      <c r="P13" s="56">
        <v>-3</v>
      </c>
      <c r="Q13" s="56">
        <v>-49</v>
      </c>
      <c r="R13" s="5" t="s">
        <v>98</v>
      </c>
      <c r="S13" s="56">
        <v>-276.09713000000056</v>
      </c>
      <c r="T13" s="56">
        <v>17.999999999999432</v>
      </c>
      <c r="U13" s="56">
        <v>44.220883419354969</v>
      </c>
      <c r="V13" s="56">
        <v>1140</v>
      </c>
      <c r="W13" s="9">
        <v>0</v>
      </c>
      <c r="X13" s="56">
        <v>725</v>
      </c>
      <c r="Y13" s="56">
        <v>0</v>
      </c>
      <c r="Z13" s="56">
        <v>0</v>
      </c>
      <c r="AA13" s="56">
        <v>0</v>
      </c>
      <c r="AB13" s="5" t="s">
        <v>98</v>
      </c>
      <c r="AC13" s="5">
        <f t="shared" si="0"/>
        <v>1865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s="1" customFormat="1" ht="12" customHeight="1" x14ac:dyDescent="0.2">
      <c r="A14" s="7" t="s">
        <v>60</v>
      </c>
      <c r="B14" s="61">
        <v>18</v>
      </c>
      <c r="C14" s="56">
        <v>-732.29532199999971</v>
      </c>
      <c r="D14" s="56">
        <v>-69</v>
      </c>
      <c r="E14" s="58">
        <v>-236</v>
      </c>
      <c r="F14" s="56">
        <v>0</v>
      </c>
      <c r="G14" s="56">
        <v>-776</v>
      </c>
      <c r="H14" s="56">
        <v>600</v>
      </c>
      <c r="I14" s="56">
        <v>18</v>
      </c>
      <c r="J14" s="56">
        <v>-2</v>
      </c>
      <c r="K14" s="56">
        <v>-1180</v>
      </c>
      <c r="L14" s="56">
        <v>926</v>
      </c>
      <c r="M14" s="56">
        <v>0</v>
      </c>
      <c r="N14" s="56">
        <v>269</v>
      </c>
      <c r="O14" s="56">
        <v>0</v>
      </c>
      <c r="P14" s="56">
        <v>0</v>
      </c>
      <c r="Q14" s="56">
        <v>0</v>
      </c>
      <c r="R14" s="5" t="s">
        <v>98</v>
      </c>
      <c r="S14" s="56">
        <v>1195</v>
      </c>
      <c r="T14" s="56">
        <v>15</v>
      </c>
      <c r="U14" s="56">
        <v>18</v>
      </c>
      <c r="V14" s="56">
        <v>2070</v>
      </c>
      <c r="W14" s="9">
        <v>0</v>
      </c>
      <c r="X14" s="56">
        <v>994</v>
      </c>
      <c r="Y14" s="56">
        <v>0</v>
      </c>
      <c r="Z14" s="56">
        <v>0</v>
      </c>
      <c r="AA14" s="56">
        <v>0</v>
      </c>
      <c r="AB14" s="5" t="s">
        <v>98</v>
      </c>
      <c r="AC14" s="5">
        <f t="shared" si="0"/>
        <v>3064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2" s="1" customFormat="1" ht="12" customHeight="1" x14ac:dyDescent="0.2">
      <c r="A15" s="7" t="s">
        <v>61</v>
      </c>
      <c r="B15" s="61">
        <v>15</v>
      </c>
      <c r="C15" s="56">
        <v>1204.9642940000001</v>
      </c>
      <c r="D15" s="56">
        <v>-929.32099999999991</v>
      </c>
      <c r="E15" s="56">
        <v>0</v>
      </c>
      <c r="F15" s="56">
        <v>0</v>
      </c>
      <c r="G15" s="56">
        <v>-970</v>
      </c>
      <c r="H15" s="56">
        <v>1250</v>
      </c>
      <c r="I15" s="56">
        <v>14.809000000000001</v>
      </c>
      <c r="J15" s="56">
        <v>15.6</v>
      </c>
      <c r="K15" s="56">
        <v>601.05229400000019</v>
      </c>
      <c r="L15" s="56">
        <v>-383.05229400000098</v>
      </c>
      <c r="M15" s="56">
        <v>0</v>
      </c>
      <c r="N15" s="56">
        <v>0</v>
      </c>
      <c r="O15" s="56">
        <v>0</v>
      </c>
      <c r="P15" s="56">
        <v>0</v>
      </c>
      <c r="Q15" s="56">
        <v>481</v>
      </c>
      <c r="R15" s="5" t="s">
        <v>98</v>
      </c>
      <c r="S15" s="56">
        <v>97.947705999999016</v>
      </c>
      <c r="T15" s="56">
        <v>698.9999999999992</v>
      </c>
      <c r="U15" s="56">
        <v>177.66435037931043</v>
      </c>
      <c r="V15" s="56">
        <v>1692</v>
      </c>
      <c r="W15" s="9">
        <v>0</v>
      </c>
      <c r="X15" s="56">
        <v>994</v>
      </c>
      <c r="Y15" s="56">
        <v>0</v>
      </c>
      <c r="Z15" s="56">
        <v>0</v>
      </c>
      <c r="AA15" s="56">
        <v>481</v>
      </c>
      <c r="AB15" s="5" t="s">
        <v>98</v>
      </c>
      <c r="AC15" s="5">
        <f t="shared" si="0"/>
        <v>3167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s="1" customFormat="1" ht="12" customHeight="1" x14ac:dyDescent="0.2">
      <c r="A16" s="7" t="s">
        <v>62</v>
      </c>
      <c r="B16" s="61">
        <v>699</v>
      </c>
      <c r="C16" s="56">
        <v>-1163.269</v>
      </c>
      <c r="D16" s="56">
        <v>1444.1690000000001</v>
      </c>
      <c r="E16" s="56">
        <v>0</v>
      </c>
      <c r="F16" s="56">
        <v>0</v>
      </c>
      <c r="G16" s="56">
        <v>-692.41100000000006</v>
      </c>
      <c r="H16" s="56">
        <v>675</v>
      </c>
      <c r="I16" s="56">
        <v>12.058999999999999</v>
      </c>
      <c r="J16" s="56">
        <v>-0.5</v>
      </c>
      <c r="K16" s="56">
        <v>974.048</v>
      </c>
      <c r="L16" s="56">
        <v>-109.04054799999949</v>
      </c>
      <c r="M16" s="56">
        <v>0</v>
      </c>
      <c r="N16" s="56">
        <v>-423.51499999999999</v>
      </c>
      <c r="O16" s="56">
        <v>0</v>
      </c>
      <c r="P16" s="56">
        <v>60</v>
      </c>
      <c r="Q16" s="56">
        <v>-481</v>
      </c>
      <c r="R16" s="5" t="s">
        <v>98</v>
      </c>
      <c r="S16" s="56">
        <v>-953.55554799999948</v>
      </c>
      <c r="T16" s="56">
        <v>20.492452000000526</v>
      </c>
      <c r="U16" s="56">
        <v>161.01697212903238</v>
      </c>
      <c r="V16" s="56">
        <v>1590</v>
      </c>
      <c r="W16" s="9">
        <v>0</v>
      </c>
      <c r="X16" s="56">
        <v>576</v>
      </c>
      <c r="Y16" s="56">
        <v>0</v>
      </c>
      <c r="Z16" s="56">
        <v>0</v>
      </c>
      <c r="AA16" s="56">
        <v>60</v>
      </c>
      <c r="AB16" s="5" t="s">
        <v>98</v>
      </c>
      <c r="AC16" s="5">
        <f t="shared" si="0"/>
        <v>2226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1" customFormat="1" ht="12" customHeight="1" x14ac:dyDescent="0.2">
      <c r="A17" s="7" t="s">
        <v>63</v>
      </c>
      <c r="B17" s="5">
        <v>20.492452000000213</v>
      </c>
      <c r="C17" s="5">
        <v>152.8925399999998</v>
      </c>
      <c r="D17" s="56">
        <v>368.20699999999999</v>
      </c>
      <c r="E17" s="5">
        <v>-240</v>
      </c>
      <c r="F17" s="5">
        <v>1772.4379999999996</v>
      </c>
      <c r="G17" s="5">
        <v>-773.28099999999995</v>
      </c>
      <c r="H17" s="5">
        <v>600</v>
      </c>
      <c r="I17" s="5">
        <v>-2.2670000000000003</v>
      </c>
      <c r="J17" s="5">
        <v>-29.19</v>
      </c>
      <c r="K17" s="5">
        <v>1869.2919919999997</v>
      </c>
      <c r="L17" s="5">
        <v>-941.04099199999928</v>
      </c>
      <c r="M17" s="56">
        <v>0</v>
      </c>
      <c r="N17" s="5">
        <v>-183.21300000000002</v>
      </c>
      <c r="O17" s="5">
        <v>-703</v>
      </c>
      <c r="P17" s="5">
        <v>-35</v>
      </c>
      <c r="Q17" s="5">
        <v>0</v>
      </c>
      <c r="R17" s="5" t="s">
        <v>98</v>
      </c>
      <c r="S17" s="5">
        <v>-1862.2539919999992</v>
      </c>
      <c r="T17" s="5">
        <v>7.0380000000004657</v>
      </c>
      <c r="U17" s="5">
        <v>406.6870423448276</v>
      </c>
      <c r="V17" s="5">
        <v>655</v>
      </c>
      <c r="W17" s="9">
        <v>0</v>
      </c>
      <c r="X17" s="5">
        <v>402</v>
      </c>
      <c r="Y17" s="5">
        <v>-705</v>
      </c>
      <c r="Z17" s="5">
        <v>25</v>
      </c>
      <c r="AA17" s="5">
        <v>0</v>
      </c>
      <c r="AB17" s="5" t="s">
        <v>98</v>
      </c>
      <c r="AC17" s="5">
        <f t="shared" si="0"/>
        <v>377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ht="12" customHeight="1" x14ac:dyDescent="0.2">
      <c r="A18" s="7" t="s">
        <v>64</v>
      </c>
      <c r="B18" s="5">
        <v>7.0380000000000607</v>
      </c>
      <c r="C18" s="5">
        <v>-552.46799999999985</v>
      </c>
      <c r="D18" s="56">
        <v>6.5560000000001954</v>
      </c>
      <c r="E18" s="5">
        <v>-239</v>
      </c>
      <c r="F18" s="5">
        <v>0</v>
      </c>
      <c r="G18" s="5">
        <v>-965.08</v>
      </c>
      <c r="H18" s="5">
        <v>1250</v>
      </c>
      <c r="I18" s="5">
        <v>9.9619999999999997</v>
      </c>
      <c r="J18" s="5">
        <v>12.5</v>
      </c>
      <c r="K18" s="5">
        <v>-470.49199999999973</v>
      </c>
      <c r="L18" s="5">
        <v>590.45299999999997</v>
      </c>
      <c r="M18" s="56">
        <v>0</v>
      </c>
      <c r="N18" s="5">
        <v>-402.74299999999999</v>
      </c>
      <c r="O18" s="5">
        <v>340</v>
      </c>
      <c r="P18" s="5">
        <v>-5</v>
      </c>
      <c r="Q18" s="5">
        <v>13</v>
      </c>
      <c r="R18" s="5" t="s">
        <v>98</v>
      </c>
      <c r="S18" s="5">
        <v>535.71</v>
      </c>
      <c r="T18" s="5">
        <v>65.218000000000302</v>
      </c>
      <c r="U18" s="5">
        <v>36.802354838709924</v>
      </c>
      <c r="V18" s="5">
        <v>1250</v>
      </c>
      <c r="W18" s="9">
        <v>0</v>
      </c>
      <c r="X18" s="5">
        <v>0</v>
      </c>
      <c r="Y18" s="5">
        <v>-365</v>
      </c>
      <c r="Z18" s="5">
        <v>20</v>
      </c>
      <c r="AA18" s="5">
        <v>13</v>
      </c>
      <c r="AB18" s="5" t="s">
        <v>98</v>
      </c>
      <c r="AC18" s="5">
        <f t="shared" si="0"/>
        <v>918</v>
      </c>
    </row>
    <row r="19" spans="1:42" ht="12" customHeight="1" x14ac:dyDescent="0.2">
      <c r="A19" s="7" t="s">
        <v>65</v>
      </c>
      <c r="B19" s="56">
        <v>65.218000000000444</v>
      </c>
      <c r="C19" s="56">
        <v>-572.95050000000015</v>
      </c>
      <c r="D19" s="56">
        <v>-69.228999999999743</v>
      </c>
      <c r="E19" s="56">
        <v>-193</v>
      </c>
      <c r="F19" s="56">
        <v>0</v>
      </c>
      <c r="G19" s="56">
        <v>-773</v>
      </c>
      <c r="H19" s="56">
        <v>712</v>
      </c>
      <c r="I19" s="56">
        <v>4.4930000000000083</v>
      </c>
      <c r="J19" s="56">
        <v>50</v>
      </c>
      <c r="K19" s="56">
        <v>-776.46849999999938</v>
      </c>
      <c r="L19" s="56">
        <v>536.14699999999993</v>
      </c>
      <c r="M19" s="56">
        <v>0</v>
      </c>
      <c r="N19" s="56">
        <v>359</v>
      </c>
      <c r="O19" s="56">
        <v>-42</v>
      </c>
      <c r="P19" s="56">
        <v>-20</v>
      </c>
      <c r="Q19" s="56">
        <v>-13</v>
      </c>
      <c r="R19" s="5" t="s">
        <v>98</v>
      </c>
      <c r="S19" s="56">
        <v>820.14699999999993</v>
      </c>
      <c r="T19" s="5">
        <v>43.678500000000554</v>
      </c>
      <c r="U19" s="5">
        <v>32.244783333333828</v>
      </c>
      <c r="V19" s="9">
        <v>1790</v>
      </c>
      <c r="W19" s="9">
        <v>0</v>
      </c>
      <c r="X19" s="9">
        <v>359</v>
      </c>
      <c r="Y19" s="9">
        <v>-410</v>
      </c>
      <c r="Z19" s="9">
        <v>0</v>
      </c>
      <c r="AA19" s="9">
        <v>0</v>
      </c>
      <c r="AB19" s="5" t="s">
        <v>98</v>
      </c>
      <c r="AC19" s="5">
        <f t="shared" si="0"/>
        <v>1739</v>
      </c>
    </row>
    <row r="20" spans="1:42" ht="12" customHeight="1" x14ac:dyDescent="0.2">
      <c r="A20" s="7" t="s">
        <v>66</v>
      </c>
      <c r="B20" s="56">
        <v>43.678500000000525</v>
      </c>
      <c r="C20" s="56">
        <v>214.14980000000031</v>
      </c>
      <c r="D20" s="56">
        <v>110.02900000000038</v>
      </c>
      <c r="E20" s="56">
        <v>-188</v>
      </c>
      <c r="F20" s="56">
        <v>0</v>
      </c>
      <c r="G20" s="56">
        <v>-962</v>
      </c>
      <c r="H20" s="56">
        <v>675</v>
      </c>
      <c r="I20" s="56">
        <v>12.59</v>
      </c>
      <c r="J20" s="56">
        <v>-87.234999999999999</v>
      </c>
      <c r="K20" s="56">
        <v>-181.78769999999872</v>
      </c>
      <c r="L20" s="56">
        <v>235.84799999999996</v>
      </c>
      <c r="M20" s="56">
        <v>0</v>
      </c>
      <c r="N20" s="56">
        <v>-249.81</v>
      </c>
      <c r="O20" s="56">
        <v>165</v>
      </c>
      <c r="P20" s="56">
        <v>24</v>
      </c>
      <c r="Q20" s="56">
        <v>390</v>
      </c>
      <c r="R20" s="5" t="s">
        <v>98</v>
      </c>
      <c r="S20" s="56">
        <v>565.03800000000001</v>
      </c>
      <c r="T20" s="5">
        <v>383.25030000000129</v>
      </c>
      <c r="U20" s="5">
        <v>45.246700000000835</v>
      </c>
      <c r="V20" s="9">
        <v>2035</v>
      </c>
      <c r="W20" s="9">
        <v>0</v>
      </c>
      <c r="X20" s="9">
        <v>110</v>
      </c>
      <c r="Y20" s="9">
        <v>-245</v>
      </c>
      <c r="Z20" s="9">
        <v>24</v>
      </c>
      <c r="AA20" s="9">
        <v>390</v>
      </c>
      <c r="AB20" s="5" t="s">
        <v>98</v>
      </c>
      <c r="AC20" s="5">
        <f t="shared" si="0"/>
        <v>2314</v>
      </c>
    </row>
    <row r="21" spans="1:42" ht="12" customHeight="1" x14ac:dyDescent="0.2">
      <c r="A21" s="7" t="s">
        <v>67</v>
      </c>
      <c r="B21" s="56">
        <v>383.25030000000129</v>
      </c>
      <c r="C21" s="56">
        <v>106.81569999999877</v>
      </c>
      <c r="D21" s="56">
        <v>-10.822000000000088</v>
      </c>
      <c r="E21" s="56">
        <v>-191</v>
      </c>
      <c r="F21" s="56">
        <v>0</v>
      </c>
      <c r="G21" s="56">
        <v>-772</v>
      </c>
      <c r="H21" s="56">
        <v>1250</v>
      </c>
      <c r="I21" s="56">
        <v>20.098000000000091</v>
      </c>
      <c r="J21" s="56">
        <v>-13.6</v>
      </c>
      <c r="K21" s="56">
        <v>772.74199999999996</v>
      </c>
      <c r="L21" s="56">
        <v>-477.34200000000055</v>
      </c>
      <c r="M21" s="56">
        <v>0</v>
      </c>
      <c r="N21" s="56">
        <v>-110</v>
      </c>
      <c r="O21" s="56">
        <v>245</v>
      </c>
      <c r="P21" s="56">
        <v>10</v>
      </c>
      <c r="Q21" s="56">
        <v>-390</v>
      </c>
      <c r="R21" s="5" t="s">
        <v>98</v>
      </c>
      <c r="S21" s="56">
        <v>-722.34200000000055</v>
      </c>
      <c r="T21" s="5">
        <v>49</v>
      </c>
      <c r="U21" s="5">
        <v>43.053820000000513</v>
      </c>
      <c r="V21" s="9">
        <v>1565</v>
      </c>
      <c r="W21" s="9">
        <v>0</v>
      </c>
      <c r="X21" s="9">
        <v>0</v>
      </c>
      <c r="Y21" s="9">
        <v>0</v>
      </c>
      <c r="Z21" s="9">
        <v>34</v>
      </c>
      <c r="AA21" s="9">
        <v>0</v>
      </c>
      <c r="AB21" s="5" t="s">
        <v>98</v>
      </c>
      <c r="AC21" s="5">
        <f t="shared" si="0"/>
        <v>1599</v>
      </c>
    </row>
    <row r="22" spans="1:42" s="81" customFormat="1" ht="12" customHeight="1" x14ac:dyDescent="0.2">
      <c r="A22" s="71" t="s">
        <v>68</v>
      </c>
      <c r="B22" s="56">
        <v>49</v>
      </c>
      <c r="C22" s="56">
        <v>-174.23200000000026</v>
      </c>
      <c r="D22" s="56">
        <v>-823.76600000000053</v>
      </c>
      <c r="E22" s="56">
        <v>0</v>
      </c>
      <c r="F22" s="56">
        <v>0</v>
      </c>
      <c r="G22" s="56">
        <v>-773</v>
      </c>
      <c r="H22" s="56">
        <v>600</v>
      </c>
      <c r="I22" s="56">
        <v>16.62599999999998</v>
      </c>
      <c r="J22" s="56">
        <v>473.9</v>
      </c>
      <c r="K22" s="56">
        <v>-631.47200000000078</v>
      </c>
      <c r="L22" s="56">
        <v>-171.72800000000007</v>
      </c>
      <c r="M22" s="56">
        <v>0</v>
      </c>
      <c r="N22" s="56">
        <v>0</v>
      </c>
      <c r="O22" s="56">
        <v>-10</v>
      </c>
      <c r="P22" s="56">
        <v>617</v>
      </c>
      <c r="Q22" s="56">
        <v>199</v>
      </c>
      <c r="R22" s="5" t="s">
        <v>98</v>
      </c>
      <c r="S22" s="56">
        <v>634.27199999999993</v>
      </c>
      <c r="T22" s="5">
        <v>2.7999999999991587</v>
      </c>
      <c r="U22" s="5">
        <v>43.818103448275302</v>
      </c>
      <c r="V22" s="9">
        <v>1400</v>
      </c>
      <c r="W22" s="9">
        <v>0</v>
      </c>
      <c r="X22" s="9">
        <v>0</v>
      </c>
      <c r="Y22" s="9">
        <v>-10</v>
      </c>
      <c r="Z22" s="9">
        <v>651</v>
      </c>
      <c r="AA22" s="9">
        <v>199</v>
      </c>
      <c r="AB22" s="5" t="s">
        <v>98</v>
      </c>
      <c r="AC22" s="5">
        <f t="shared" si="0"/>
        <v>2240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81" customFormat="1" ht="12" customHeight="1" x14ac:dyDescent="0.2">
      <c r="A23" s="71" t="s">
        <v>69</v>
      </c>
      <c r="B23" s="56">
        <v>2.7999999999993008</v>
      </c>
      <c r="C23" s="56">
        <v>215.38400000000001</v>
      </c>
      <c r="D23" s="56">
        <v>952.04700000000014</v>
      </c>
      <c r="E23" s="56">
        <v>-244</v>
      </c>
      <c r="F23" s="56">
        <v>0</v>
      </c>
      <c r="G23" s="56">
        <v>-964</v>
      </c>
      <c r="H23" s="56">
        <v>675</v>
      </c>
      <c r="I23" s="56">
        <v>2.5330000000000004</v>
      </c>
      <c r="J23" s="56">
        <v>127.702</v>
      </c>
      <c r="K23" s="56">
        <v>767.46599999999955</v>
      </c>
      <c r="L23" s="56">
        <v>-100.76700000000073</v>
      </c>
      <c r="M23" s="56">
        <v>0</v>
      </c>
      <c r="N23" s="56">
        <v>176.87299999999999</v>
      </c>
      <c r="O23" s="56">
        <v>-50</v>
      </c>
      <c r="P23" s="56">
        <v>-559</v>
      </c>
      <c r="Q23" s="56">
        <v>-199</v>
      </c>
      <c r="R23" s="5" t="s">
        <v>98</v>
      </c>
      <c r="S23" s="56">
        <v>-731.89400000000069</v>
      </c>
      <c r="T23" s="5">
        <v>35.571999999998866</v>
      </c>
      <c r="U23" s="5">
        <v>30.071935483870245</v>
      </c>
      <c r="V23" s="9">
        <v>1305</v>
      </c>
      <c r="W23" s="9">
        <v>0</v>
      </c>
      <c r="X23" s="9">
        <v>177</v>
      </c>
      <c r="Y23" s="9">
        <v>-60</v>
      </c>
      <c r="Z23" s="9">
        <v>92</v>
      </c>
      <c r="AA23" s="9">
        <v>0</v>
      </c>
      <c r="AB23" s="5" t="s">
        <v>98</v>
      </c>
      <c r="AC23" s="5">
        <f t="shared" si="0"/>
        <v>1514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81" customFormat="1" ht="12" customHeight="1" x14ac:dyDescent="0.2">
      <c r="A24" s="71" t="s">
        <v>70</v>
      </c>
      <c r="B24" s="56">
        <v>35.571999999999349</v>
      </c>
      <c r="C24" s="56">
        <v>332.32550000000026</v>
      </c>
      <c r="D24" s="56">
        <v>62.875999999999692</v>
      </c>
      <c r="E24" s="56">
        <v>-245</v>
      </c>
      <c r="F24" s="56">
        <v>0</v>
      </c>
      <c r="G24" s="56">
        <v>-772</v>
      </c>
      <c r="H24" s="56">
        <v>1325</v>
      </c>
      <c r="I24" s="56">
        <v>4.3330000000000188</v>
      </c>
      <c r="J24" s="56">
        <v>2.605</v>
      </c>
      <c r="K24" s="56">
        <v>745.71149999999932</v>
      </c>
      <c r="L24" s="56">
        <v>-604.79999999999995</v>
      </c>
      <c r="M24" s="56">
        <v>0</v>
      </c>
      <c r="N24" s="56">
        <v>0</v>
      </c>
      <c r="O24" s="56">
        <v>10</v>
      </c>
      <c r="P24" s="56">
        <v>-92</v>
      </c>
      <c r="Q24" s="56">
        <v>0</v>
      </c>
      <c r="R24" s="5" t="s">
        <v>98</v>
      </c>
      <c r="S24" s="56">
        <v>-686.8</v>
      </c>
      <c r="T24" s="5">
        <v>58.911499999999137</v>
      </c>
      <c r="U24" s="5">
        <v>20.181806451612395</v>
      </c>
      <c r="V24" s="9">
        <v>705</v>
      </c>
      <c r="W24" s="9">
        <v>0</v>
      </c>
      <c r="X24" s="9">
        <v>177</v>
      </c>
      <c r="Y24" s="9">
        <v>-50</v>
      </c>
      <c r="Z24" s="9">
        <v>0</v>
      </c>
      <c r="AA24" s="9">
        <v>0</v>
      </c>
      <c r="AB24" s="5" t="s">
        <v>98</v>
      </c>
      <c r="AC24" s="5">
        <f t="shared" si="0"/>
        <v>832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1" customFormat="1" ht="12" customHeight="1" x14ac:dyDescent="0.2">
      <c r="A25" s="9" t="s">
        <v>71</v>
      </c>
      <c r="B25" s="5">
        <v>58.91149999999945</v>
      </c>
      <c r="C25" s="5">
        <v>-11.317550000000118</v>
      </c>
      <c r="D25" s="56">
        <v>-108.69100000000005</v>
      </c>
      <c r="E25" s="5">
        <v>-242.7</v>
      </c>
      <c r="F25" s="5">
        <v>0</v>
      </c>
      <c r="G25" s="5">
        <v>-772.5</v>
      </c>
      <c r="H25" s="5">
        <v>675</v>
      </c>
      <c r="I25" s="5">
        <v>10.244999999999999</v>
      </c>
      <c r="J25" s="5">
        <v>55.484999999999999</v>
      </c>
      <c r="K25" s="5">
        <v>-335.56705000000062</v>
      </c>
      <c r="L25" s="5">
        <v>628.01899999999978</v>
      </c>
      <c r="M25" s="5">
        <v>-165.16</v>
      </c>
      <c r="N25" s="5">
        <v>0</v>
      </c>
      <c r="O25" s="5">
        <v>-204</v>
      </c>
      <c r="P25" s="5">
        <v>94</v>
      </c>
      <c r="Q25" s="5">
        <v>0</v>
      </c>
      <c r="R25" s="5" t="s">
        <v>98</v>
      </c>
      <c r="S25" s="5">
        <v>352.85899999999975</v>
      </c>
      <c r="T25" s="5">
        <v>17.291949999999133</v>
      </c>
      <c r="U25" s="5">
        <v>32.802612645160806</v>
      </c>
      <c r="V25" s="5">
        <v>1335</v>
      </c>
      <c r="W25" s="5">
        <v>-166</v>
      </c>
      <c r="X25" s="5">
        <v>177</v>
      </c>
      <c r="Y25" s="5">
        <v>-254</v>
      </c>
      <c r="Z25" s="5">
        <v>94</v>
      </c>
      <c r="AA25" s="5">
        <v>0</v>
      </c>
      <c r="AB25" s="5" t="s">
        <v>98</v>
      </c>
      <c r="AC25" s="5">
        <f t="shared" si="0"/>
        <v>1186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9" customFormat="1" ht="12" customHeight="1" x14ac:dyDescent="0.2">
      <c r="A26" s="9" t="s">
        <v>72</v>
      </c>
      <c r="B26" s="5">
        <v>17.291949999999545</v>
      </c>
      <c r="C26" s="5">
        <v>-688.03394999999966</v>
      </c>
      <c r="D26" s="56">
        <v>-106.25599999999999</v>
      </c>
      <c r="E26" s="5">
        <v>-288.60000000000002</v>
      </c>
      <c r="F26" s="5">
        <v>0</v>
      </c>
      <c r="G26" s="5">
        <v>-964.18200000000002</v>
      </c>
      <c r="H26" s="5">
        <v>600</v>
      </c>
      <c r="I26" s="5">
        <v>8.3949999999999996</v>
      </c>
      <c r="J26" s="5">
        <v>-765.68</v>
      </c>
      <c r="K26" s="5">
        <v>-2187.0650000000001</v>
      </c>
      <c r="L26" s="5">
        <v>2081.4669999999996</v>
      </c>
      <c r="M26" s="5">
        <v>166.22399999999999</v>
      </c>
      <c r="N26" s="5">
        <v>0</v>
      </c>
      <c r="O26" s="5">
        <v>50</v>
      </c>
      <c r="P26" s="5">
        <v>-94</v>
      </c>
      <c r="Q26" s="5">
        <v>-0.80000000000006821</v>
      </c>
      <c r="R26" s="5" t="s">
        <v>98</v>
      </c>
      <c r="S26" s="5">
        <v>2202.8909999999996</v>
      </c>
      <c r="T26" s="5">
        <v>15.825999999999567</v>
      </c>
      <c r="U26" s="5">
        <v>22.93601129032244</v>
      </c>
      <c r="V26" s="5">
        <v>3425</v>
      </c>
      <c r="W26" s="5">
        <v>0</v>
      </c>
      <c r="X26" s="5">
        <v>177</v>
      </c>
      <c r="Y26" s="5">
        <v>-204</v>
      </c>
      <c r="Z26" s="5">
        <v>0</v>
      </c>
      <c r="AA26" s="5">
        <v>0</v>
      </c>
      <c r="AB26" s="5" t="s">
        <v>98</v>
      </c>
      <c r="AC26" s="5">
        <f t="shared" si="0"/>
        <v>3398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1" customFormat="1" ht="12" customHeight="1" x14ac:dyDescent="0.2">
      <c r="A27" s="72" t="s">
        <v>73</v>
      </c>
      <c r="B27" s="5">
        <v>15.825999999999848</v>
      </c>
      <c r="C27" s="5">
        <v>527.05200000000036</v>
      </c>
      <c r="D27" s="56">
        <v>-258.81800000000015</v>
      </c>
      <c r="E27" s="5">
        <v>-303.08</v>
      </c>
      <c r="F27" s="5">
        <v>0</v>
      </c>
      <c r="G27" s="5">
        <v>-773</v>
      </c>
      <c r="H27" s="5">
        <v>1275</v>
      </c>
      <c r="I27" s="5">
        <v>6.6160000000000112</v>
      </c>
      <c r="J27" s="5">
        <v>487.4</v>
      </c>
      <c r="K27" s="5">
        <v>976.99599999999998</v>
      </c>
      <c r="L27" s="5">
        <v>-1672.405</v>
      </c>
      <c r="M27" s="5">
        <v>0</v>
      </c>
      <c r="N27" s="5">
        <v>466.58399999999983</v>
      </c>
      <c r="O27" s="5">
        <v>204</v>
      </c>
      <c r="P27" s="5">
        <v>0</v>
      </c>
      <c r="Q27" s="5">
        <v>34</v>
      </c>
      <c r="R27" s="5" t="s">
        <v>98</v>
      </c>
      <c r="S27" s="5">
        <v>-967.82100000000082</v>
      </c>
      <c r="T27" s="5">
        <v>9.1749999999991587</v>
      </c>
      <c r="U27" s="5">
        <v>10.930103448275677</v>
      </c>
      <c r="V27" s="5">
        <v>1765</v>
      </c>
      <c r="W27" s="5">
        <v>0</v>
      </c>
      <c r="X27" s="5">
        <v>645</v>
      </c>
      <c r="Y27" s="5">
        <v>0</v>
      </c>
      <c r="Z27" s="5">
        <v>0</v>
      </c>
      <c r="AA27" s="5">
        <v>34</v>
      </c>
      <c r="AB27" s="5" t="s">
        <v>98</v>
      </c>
      <c r="AC27" s="5">
        <f t="shared" si="0"/>
        <v>2444</v>
      </c>
      <c r="AD27" s="5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</row>
    <row r="28" spans="1:42" s="81" customFormat="1" ht="12" customHeight="1" x14ac:dyDescent="0.2">
      <c r="A28" s="72" t="s">
        <v>74</v>
      </c>
      <c r="B28" s="5">
        <v>9.1749999999999261</v>
      </c>
      <c r="C28" s="5">
        <v>-301.28500000000003</v>
      </c>
      <c r="D28" s="56">
        <v>1291.1300000000001</v>
      </c>
      <c r="E28" s="5">
        <v>-307.5</v>
      </c>
      <c r="F28" s="5">
        <v>0</v>
      </c>
      <c r="G28" s="5">
        <v>-968.17</v>
      </c>
      <c r="H28" s="5">
        <v>675</v>
      </c>
      <c r="I28" s="5">
        <v>5.9719999999999995</v>
      </c>
      <c r="J28" s="5">
        <v>-317.72299999999996</v>
      </c>
      <c r="K28" s="5">
        <v>86.59900000000016</v>
      </c>
      <c r="L28" s="5">
        <v>126.67799999999988</v>
      </c>
      <c r="M28" s="5">
        <v>0</v>
      </c>
      <c r="N28" s="5">
        <v>-168.94499999999999</v>
      </c>
      <c r="O28" s="5">
        <v>0</v>
      </c>
      <c r="P28" s="5">
        <v>0</v>
      </c>
      <c r="Q28" s="5">
        <v>-34</v>
      </c>
      <c r="R28" s="5" t="s">
        <v>98</v>
      </c>
      <c r="S28" s="5">
        <v>-76.267000000000138</v>
      </c>
      <c r="T28" s="5">
        <v>10.332000000000022</v>
      </c>
      <c r="U28" s="5">
        <v>75.387437499999962</v>
      </c>
      <c r="V28" s="5">
        <v>1900</v>
      </c>
      <c r="W28" s="5">
        <v>0</v>
      </c>
      <c r="X28" s="5">
        <v>476</v>
      </c>
      <c r="Y28" s="5">
        <v>0</v>
      </c>
      <c r="Z28" s="5">
        <v>0</v>
      </c>
      <c r="AA28" s="5">
        <v>0</v>
      </c>
      <c r="AB28" s="5" t="s">
        <v>98</v>
      </c>
      <c r="AC28" s="5">
        <f t="shared" si="0"/>
        <v>2376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ht="12" customHeight="1" x14ac:dyDescent="0.2">
      <c r="A29" s="72" t="s">
        <v>75</v>
      </c>
      <c r="B29" s="5">
        <v>10.332000000000136</v>
      </c>
      <c r="C29" s="5">
        <v>-202.96600000000041</v>
      </c>
      <c r="D29" s="56">
        <v>191.80599999999973</v>
      </c>
      <c r="E29" s="5">
        <v>-303.5</v>
      </c>
      <c r="F29" s="5">
        <v>1329.5</v>
      </c>
      <c r="G29" s="5">
        <v>-774.29499999999996</v>
      </c>
      <c r="H29" s="5">
        <v>675</v>
      </c>
      <c r="I29" s="5">
        <v>0.3879999999999092</v>
      </c>
      <c r="J29" s="5">
        <v>498.92099999999999</v>
      </c>
      <c r="K29" s="5">
        <v>1425.1859999999995</v>
      </c>
      <c r="L29" s="5">
        <v>-932.09600000000046</v>
      </c>
      <c r="M29" s="5">
        <v>-144.66800000000001</v>
      </c>
      <c r="N29" s="5">
        <v>-482.63900000000001</v>
      </c>
      <c r="O29" s="5">
        <v>0</v>
      </c>
      <c r="P29" s="5">
        <v>0</v>
      </c>
      <c r="Q29" s="5">
        <v>135.6</v>
      </c>
      <c r="R29" s="5" t="s">
        <v>98</v>
      </c>
      <c r="S29" s="5">
        <v>-1423.8030000000008</v>
      </c>
      <c r="T29" s="5">
        <v>1.382999999998674</v>
      </c>
      <c r="U29" s="5">
        <v>65.612113533927982</v>
      </c>
      <c r="V29" s="5">
        <v>975</v>
      </c>
      <c r="W29" s="5">
        <v>-145</v>
      </c>
      <c r="X29" s="5">
        <v>0</v>
      </c>
      <c r="Y29" s="5">
        <v>0</v>
      </c>
      <c r="Z29" s="5">
        <v>0</v>
      </c>
      <c r="AA29" s="5">
        <v>136</v>
      </c>
      <c r="AB29" s="5" t="s">
        <v>98</v>
      </c>
      <c r="AC29" s="5">
        <f t="shared" si="0"/>
        <v>966</v>
      </c>
    </row>
    <row r="30" spans="1:42" ht="12" customHeight="1" x14ac:dyDescent="0.2">
      <c r="A30" s="72" t="s">
        <v>76</v>
      </c>
      <c r="B30" s="5">
        <v>1.3829999999990719</v>
      </c>
      <c r="C30" s="5">
        <v>-724.1419999999996</v>
      </c>
      <c r="D30" s="56">
        <v>-5.187999999999704</v>
      </c>
      <c r="E30" s="5">
        <v>-308</v>
      </c>
      <c r="F30" s="5">
        <v>0</v>
      </c>
      <c r="G30" s="5">
        <v>-775.53399999999999</v>
      </c>
      <c r="H30" s="5">
        <v>1325</v>
      </c>
      <c r="I30" s="5">
        <v>4.1689999999999996</v>
      </c>
      <c r="J30" s="5">
        <v>456.154</v>
      </c>
      <c r="K30" s="5">
        <v>-26.158000000000243</v>
      </c>
      <c r="L30" s="5">
        <v>94.504000000000815</v>
      </c>
      <c r="M30" s="5">
        <v>145.22800000000001</v>
      </c>
      <c r="N30" s="5">
        <v>0</v>
      </c>
      <c r="O30" s="5">
        <v>0</v>
      </c>
      <c r="P30" s="5">
        <v>0</v>
      </c>
      <c r="Q30" s="5">
        <v>-135.6</v>
      </c>
      <c r="R30" s="5" t="s">
        <v>98</v>
      </c>
      <c r="S30" s="5">
        <v>104.13200000000091</v>
      </c>
      <c r="T30" s="5">
        <v>77.974000000000672</v>
      </c>
      <c r="U30" s="5">
        <v>33</v>
      </c>
      <c r="V30" s="5">
        <v>1075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 t="s">
        <v>98</v>
      </c>
      <c r="AC30" s="5">
        <f t="shared" si="0"/>
        <v>1075</v>
      </c>
    </row>
    <row r="31" spans="1:42" ht="12" customHeight="1" x14ac:dyDescent="0.2">
      <c r="A31" s="72" t="s">
        <v>77</v>
      </c>
      <c r="B31" s="15">
        <v>77.973999999999918</v>
      </c>
      <c r="C31" s="5">
        <v>-910.47599999999943</v>
      </c>
      <c r="D31" s="56">
        <v>-57.026000000000096</v>
      </c>
      <c r="E31" s="5">
        <v>-327</v>
      </c>
      <c r="F31" s="5">
        <v>0</v>
      </c>
      <c r="G31" s="5">
        <v>-774</v>
      </c>
      <c r="H31" s="5">
        <v>600</v>
      </c>
      <c r="I31" s="5">
        <v>5.5419999999999998</v>
      </c>
      <c r="J31" s="5">
        <v>56.4</v>
      </c>
      <c r="K31" s="5">
        <v>-1328.5859999999996</v>
      </c>
      <c r="L31" s="5">
        <v>1120.4540000000002</v>
      </c>
      <c r="M31" s="5">
        <v>0.39300000000000068</v>
      </c>
      <c r="N31" s="5">
        <v>0</v>
      </c>
      <c r="O31" s="5">
        <v>0</v>
      </c>
      <c r="P31" s="5">
        <v>219</v>
      </c>
      <c r="Q31" s="5">
        <v>0</v>
      </c>
      <c r="R31" s="5" t="s">
        <v>98</v>
      </c>
      <c r="S31" s="5">
        <v>1339.8470000000002</v>
      </c>
      <c r="T31" s="5">
        <v>11.261000000000649</v>
      </c>
      <c r="U31" s="5">
        <v>44.363733333333137</v>
      </c>
      <c r="V31" s="5">
        <v>2200</v>
      </c>
      <c r="W31" s="5">
        <v>0</v>
      </c>
      <c r="X31" s="5">
        <v>0</v>
      </c>
      <c r="Y31" s="5">
        <v>0</v>
      </c>
      <c r="Z31" s="5">
        <v>219</v>
      </c>
      <c r="AA31" s="5">
        <v>0</v>
      </c>
      <c r="AB31" s="5" t="s">
        <v>98</v>
      </c>
      <c r="AC31" s="5">
        <f t="shared" si="0"/>
        <v>2419</v>
      </c>
    </row>
    <row r="32" spans="1:42" s="81" customFormat="1" ht="12" customHeight="1" x14ac:dyDescent="0.2">
      <c r="A32" s="72" t="s">
        <v>78</v>
      </c>
      <c r="B32" s="15">
        <v>11.260999999999939</v>
      </c>
      <c r="C32" s="5">
        <v>523.07000000000005</v>
      </c>
      <c r="D32" s="56">
        <v>90.631000000000583</v>
      </c>
      <c r="E32" s="5">
        <v>-346.7</v>
      </c>
      <c r="F32" s="5">
        <v>0</v>
      </c>
      <c r="G32" s="5">
        <v>-967.48099999999999</v>
      </c>
      <c r="H32" s="5">
        <v>600</v>
      </c>
      <c r="I32" s="5">
        <v>-0.46099999999993546</v>
      </c>
      <c r="J32" s="5">
        <v>-17.157000000000007</v>
      </c>
      <c r="K32" s="5">
        <v>-106.83699999999932</v>
      </c>
      <c r="L32" s="5">
        <v>-0.79600000000118598</v>
      </c>
      <c r="M32" s="5">
        <v>0</v>
      </c>
      <c r="N32" s="5">
        <v>282.2</v>
      </c>
      <c r="O32" s="5">
        <v>0</v>
      </c>
      <c r="P32" s="5">
        <v>-159</v>
      </c>
      <c r="Q32" s="5">
        <v>0</v>
      </c>
      <c r="R32" s="5" t="s">
        <v>98</v>
      </c>
      <c r="S32" s="5">
        <v>122.4039999999988</v>
      </c>
      <c r="T32" s="5">
        <v>15.566999999999481</v>
      </c>
      <c r="U32" s="5">
        <v>32.730935483871377</v>
      </c>
      <c r="V32" s="5">
        <v>2210</v>
      </c>
      <c r="W32" s="5">
        <v>0</v>
      </c>
      <c r="X32" s="5">
        <v>283</v>
      </c>
      <c r="Y32" s="5">
        <v>0</v>
      </c>
      <c r="Z32" s="5">
        <v>60</v>
      </c>
      <c r="AA32" s="5">
        <v>0</v>
      </c>
      <c r="AB32" s="5" t="s">
        <v>98</v>
      </c>
      <c r="AC32" s="5">
        <f t="shared" si="0"/>
        <v>2553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253" ht="12" customHeight="1" x14ac:dyDescent="0.2">
      <c r="A33" s="72" t="s">
        <v>79</v>
      </c>
      <c r="B33" s="15">
        <v>15.567000000000746</v>
      </c>
      <c r="C33" s="5">
        <v>-10.899500000001126</v>
      </c>
      <c r="D33" s="56">
        <v>-36.021999999999785</v>
      </c>
      <c r="E33" s="5">
        <v>-704.75199999999995</v>
      </c>
      <c r="F33" s="5">
        <v>0</v>
      </c>
      <c r="G33" s="5">
        <v>-776</v>
      </c>
      <c r="H33" s="5">
        <v>1325</v>
      </c>
      <c r="I33" s="5">
        <v>4.0845000000000002</v>
      </c>
      <c r="J33" s="5">
        <v>152.05500000000001</v>
      </c>
      <c r="K33" s="5">
        <v>-30.967000000000098</v>
      </c>
      <c r="L33" s="5">
        <v>136.76600000000053</v>
      </c>
      <c r="M33" s="5">
        <v>0</v>
      </c>
      <c r="N33" s="5">
        <v>-137.74599999999998</v>
      </c>
      <c r="O33" s="5">
        <v>0</v>
      </c>
      <c r="P33" s="5">
        <v>98</v>
      </c>
      <c r="Q33" s="5">
        <v>-5.2999999999997272E-2</v>
      </c>
      <c r="R33" s="5" t="s">
        <v>98</v>
      </c>
      <c r="S33" s="5">
        <v>96.967000000000553</v>
      </c>
      <c r="T33" s="5">
        <v>66.000000000000455</v>
      </c>
      <c r="U33" s="5">
        <v>50.137000000001045</v>
      </c>
      <c r="V33" s="5">
        <v>2355</v>
      </c>
      <c r="W33" s="5">
        <v>0</v>
      </c>
      <c r="X33" s="5">
        <v>145</v>
      </c>
      <c r="Y33" s="5">
        <v>0</v>
      </c>
      <c r="Z33" s="5">
        <v>158</v>
      </c>
      <c r="AA33" s="5">
        <v>0</v>
      </c>
      <c r="AB33" s="5" t="s">
        <v>98</v>
      </c>
      <c r="AC33" s="5">
        <f t="shared" si="0"/>
        <v>2658</v>
      </c>
    </row>
    <row r="34" spans="1:253" s="1" customFormat="1" ht="12" customHeight="1" x14ac:dyDescent="0.2">
      <c r="A34" s="72" t="s">
        <v>80</v>
      </c>
      <c r="B34" s="61">
        <v>66</v>
      </c>
      <c r="C34" s="56">
        <v>254.17500000000001</v>
      </c>
      <c r="D34" s="56">
        <v>45.72400000000026</v>
      </c>
      <c r="E34" s="56">
        <v>-253</v>
      </c>
      <c r="F34" s="56">
        <v>0</v>
      </c>
      <c r="G34" s="56">
        <v>-776.26</v>
      </c>
      <c r="H34" s="56">
        <v>675</v>
      </c>
      <c r="I34" s="56">
        <v>21.553000000000001</v>
      </c>
      <c r="J34" s="56">
        <v>74.3</v>
      </c>
      <c r="K34" s="56">
        <v>107.49199999999989</v>
      </c>
      <c r="L34" s="56">
        <v>-18.24199999999928</v>
      </c>
      <c r="M34" s="56">
        <v>0</v>
      </c>
      <c r="N34" s="56">
        <v>50.37700000000001</v>
      </c>
      <c r="O34" s="56">
        <v>0</v>
      </c>
      <c r="P34" s="56">
        <v>-158</v>
      </c>
      <c r="Q34" s="56">
        <v>31.8</v>
      </c>
      <c r="R34" s="5" t="s">
        <v>98</v>
      </c>
      <c r="S34" s="56">
        <v>-94.064999999999316</v>
      </c>
      <c r="T34" s="5">
        <v>13.427000000000575</v>
      </c>
      <c r="U34" s="5">
        <v>87.652064516128846</v>
      </c>
      <c r="V34" s="9">
        <v>2347</v>
      </c>
      <c r="W34" s="9">
        <v>0</v>
      </c>
      <c r="X34" s="9">
        <v>196</v>
      </c>
      <c r="Y34" s="9">
        <v>0</v>
      </c>
      <c r="Z34" s="9">
        <v>0</v>
      </c>
      <c r="AA34" s="9">
        <v>32</v>
      </c>
      <c r="AB34" s="5" t="s">
        <v>98</v>
      </c>
      <c r="AC34" s="5">
        <f t="shared" si="0"/>
        <v>2575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253" s="1" customFormat="1" ht="12" customHeight="1" x14ac:dyDescent="0.2">
      <c r="A35" s="72" t="s">
        <v>81</v>
      </c>
      <c r="B35" s="5">
        <v>13.373999999999938</v>
      </c>
      <c r="C35" s="5">
        <v>4.9330000000001633</v>
      </c>
      <c r="D35" s="56">
        <v>10.204000000000084</v>
      </c>
      <c r="E35" s="5">
        <v>-250</v>
      </c>
      <c r="F35" s="5">
        <v>0</v>
      </c>
      <c r="G35" s="5">
        <v>-970</v>
      </c>
      <c r="H35" s="5">
        <v>675</v>
      </c>
      <c r="I35" s="5">
        <v>6.4890000000000008</v>
      </c>
      <c r="J35" s="5">
        <v>-186.3</v>
      </c>
      <c r="K35" s="5">
        <v>-696.3</v>
      </c>
      <c r="L35" s="5">
        <v>489.93500000000131</v>
      </c>
      <c r="M35" s="5">
        <v>0</v>
      </c>
      <c r="N35" s="5">
        <v>-195.81399999999999</v>
      </c>
      <c r="O35" s="5">
        <v>0</v>
      </c>
      <c r="P35" s="5">
        <v>921</v>
      </c>
      <c r="Q35" s="5">
        <v>-32.4</v>
      </c>
      <c r="R35" s="5" t="s">
        <v>98</v>
      </c>
      <c r="S35" s="5">
        <v>1182.7210000000014</v>
      </c>
      <c r="T35" s="5">
        <v>486.42100000000153</v>
      </c>
      <c r="U35" s="5">
        <v>50.135774193548386</v>
      </c>
      <c r="V35" s="5">
        <v>2850</v>
      </c>
      <c r="W35" s="5">
        <v>0</v>
      </c>
      <c r="X35" s="5">
        <v>0</v>
      </c>
      <c r="Y35" s="5">
        <v>0</v>
      </c>
      <c r="Z35" s="5">
        <v>921</v>
      </c>
      <c r="AA35" s="5">
        <v>0</v>
      </c>
      <c r="AB35" s="5" t="s">
        <v>98</v>
      </c>
      <c r="AC35" s="5">
        <f t="shared" si="0"/>
        <v>3771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253" s="1" customFormat="1" ht="12" customHeight="1" x14ac:dyDescent="0.2">
      <c r="A36" s="5" t="s">
        <v>82</v>
      </c>
      <c r="B36" s="5">
        <v>485.67100000000005</v>
      </c>
      <c r="C36" s="5">
        <v>237.25370000000007</v>
      </c>
      <c r="D36" s="56">
        <v>-45.516000000000297</v>
      </c>
      <c r="E36" s="5">
        <v>-305.15899999999999</v>
      </c>
      <c r="F36" s="5">
        <v>71</v>
      </c>
      <c r="G36" s="5">
        <v>-776.9</v>
      </c>
      <c r="H36" s="5">
        <v>1325</v>
      </c>
      <c r="I36" s="5">
        <v>1.5139999999999998</v>
      </c>
      <c r="J36" s="5">
        <v>176.78399999999996</v>
      </c>
      <c r="K36" s="5">
        <v>1169.6476999999998</v>
      </c>
      <c r="L36" s="5">
        <v>-450.03099999999722</v>
      </c>
      <c r="M36" s="5">
        <v>0</v>
      </c>
      <c r="N36" s="5">
        <v>215.209</v>
      </c>
      <c r="O36" s="5">
        <v>0</v>
      </c>
      <c r="P36" s="5">
        <v>-921</v>
      </c>
      <c r="Q36" s="5">
        <v>0</v>
      </c>
      <c r="R36" s="5" t="s">
        <v>98</v>
      </c>
      <c r="S36" s="5">
        <v>-1155.8219999999972</v>
      </c>
      <c r="T36" s="5">
        <v>13.825700000002598</v>
      </c>
      <c r="U36" s="5">
        <v>77.972971428571299</v>
      </c>
      <c r="V36" s="5">
        <v>2411</v>
      </c>
      <c r="W36" s="5">
        <v>0</v>
      </c>
      <c r="X36" s="5">
        <v>215</v>
      </c>
      <c r="Y36" s="5">
        <v>0</v>
      </c>
      <c r="Z36" s="5">
        <v>0</v>
      </c>
      <c r="AA36" s="5">
        <v>0</v>
      </c>
      <c r="AB36" s="5" t="s">
        <v>98</v>
      </c>
      <c r="AC36" s="5">
        <f t="shared" si="0"/>
        <v>2626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253" s="1" customFormat="1" ht="12" customHeight="1" x14ac:dyDescent="0.2">
      <c r="A37" s="15" t="s">
        <v>83</v>
      </c>
      <c r="B37" s="5">
        <v>13.825699999999756</v>
      </c>
      <c r="C37" s="5">
        <v>306.19399999999968</v>
      </c>
      <c r="D37" s="56">
        <v>297.01699999999988</v>
      </c>
      <c r="E37" s="5">
        <v>-304.8</v>
      </c>
      <c r="F37" s="5">
        <v>0</v>
      </c>
      <c r="G37" s="5">
        <v>-973.5</v>
      </c>
      <c r="H37" s="5">
        <v>600</v>
      </c>
      <c r="I37" s="5">
        <v>-13.242999999999997</v>
      </c>
      <c r="J37" s="5">
        <v>198.2</v>
      </c>
      <c r="K37" s="5">
        <v>123.69369999999924</v>
      </c>
      <c r="L37" s="5">
        <v>-408.66799999999785</v>
      </c>
      <c r="M37" s="5">
        <v>0</v>
      </c>
      <c r="N37" s="5">
        <v>84.950999999999993</v>
      </c>
      <c r="O37" s="5">
        <v>0</v>
      </c>
      <c r="P37" s="5">
        <v>0</v>
      </c>
      <c r="Q37" s="5">
        <v>771</v>
      </c>
      <c r="R37" s="5" t="s">
        <v>98</v>
      </c>
      <c r="S37" s="5">
        <v>447.28300000000218</v>
      </c>
      <c r="T37" s="5">
        <v>570.97670000000141</v>
      </c>
      <c r="U37" s="5">
        <v>89.883345161290194</v>
      </c>
      <c r="V37" s="5">
        <v>2010</v>
      </c>
      <c r="W37" s="5">
        <v>0</v>
      </c>
      <c r="X37" s="5">
        <v>302</v>
      </c>
      <c r="Y37" s="5">
        <v>0</v>
      </c>
      <c r="Z37" s="5">
        <v>0</v>
      </c>
      <c r="AA37" s="5">
        <v>771</v>
      </c>
      <c r="AB37" s="5" t="s">
        <v>98</v>
      </c>
      <c r="AC37" s="5">
        <f t="shared" si="0"/>
        <v>3083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253" s="1" customFormat="1" ht="12" customHeight="1" x14ac:dyDescent="0.2">
      <c r="A38" s="15" t="s">
        <v>84</v>
      </c>
      <c r="B38" s="5">
        <v>570.97670000000016</v>
      </c>
      <c r="C38" s="5">
        <v>-714.52700000000027</v>
      </c>
      <c r="D38" s="56">
        <v>116.29599999999974</v>
      </c>
      <c r="E38" s="5">
        <v>-304</v>
      </c>
      <c r="F38" s="5">
        <v>0</v>
      </c>
      <c r="G38" s="5">
        <v>-779.678</v>
      </c>
      <c r="H38" s="5">
        <v>675</v>
      </c>
      <c r="I38" s="5">
        <v>6.2059999999999924</v>
      </c>
      <c r="J38" s="5">
        <v>-71.555000000000007</v>
      </c>
      <c r="K38" s="5">
        <v>-501.28130000000039</v>
      </c>
      <c r="L38" s="5">
        <v>1248.6769999999997</v>
      </c>
      <c r="M38" s="5">
        <v>0</v>
      </c>
      <c r="N38" s="5">
        <v>-108.2</v>
      </c>
      <c r="O38" s="5">
        <v>0</v>
      </c>
      <c r="P38" s="5">
        <v>134</v>
      </c>
      <c r="Q38" s="5">
        <v>-771</v>
      </c>
      <c r="R38" s="5" t="s">
        <v>98</v>
      </c>
      <c r="S38" s="5">
        <v>503.47699999999963</v>
      </c>
      <c r="T38" s="5">
        <v>2.195699999999249</v>
      </c>
      <c r="U38" s="5">
        <v>155.1190666666663</v>
      </c>
      <c r="V38" s="5">
        <v>3269</v>
      </c>
      <c r="W38" s="5">
        <v>0</v>
      </c>
      <c r="X38" s="5">
        <v>195</v>
      </c>
      <c r="Y38" s="5">
        <v>0</v>
      </c>
      <c r="Z38" s="5">
        <v>134</v>
      </c>
      <c r="AA38" s="5">
        <v>0</v>
      </c>
      <c r="AB38" s="5" t="s">
        <v>98</v>
      </c>
      <c r="AC38" s="5">
        <f t="shared" si="0"/>
        <v>3598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15"/>
      <c r="BF38" s="5"/>
      <c r="BG38" s="5"/>
      <c r="BH38" s="7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15"/>
      <c r="CH38" s="5"/>
      <c r="CI38" s="5"/>
      <c r="CJ38" s="7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15"/>
      <c r="DJ38" s="5"/>
      <c r="DK38" s="5"/>
      <c r="DL38" s="7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15"/>
      <c r="EL38" s="5"/>
      <c r="EM38" s="5"/>
      <c r="EN38" s="7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15"/>
      <c r="FN38" s="5"/>
      <c r="FO38" s="5"/>
      <c r="FP38" s="7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15"/>
      <c r="GP38" s="5"/>
      <c r="GQ38" s="5"/>
      <c r="GR38" s="7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15"/>
      <c r="HR38" s="5"/>
      <c r="HS38" s="5"/>
      <c r="HT38" s="7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15"/>
    </row>
    <row r="39" spans="1:253" s="1" customFormat="1" ht="12" customHeight="1" x14ac:dyDescent="0.2">
      <c r="A39" s="15" t="s">
        <v>85</v>
      </c>
      <c r="B39" s="5">
        <v>2.1956999999995617</v>
      </c>
      <c r="C39" s="5">
        <v>795.98200000000043</v>
      </c>
      <c r="D39" s="56">
        <v>-356.74299999999943</v>
      </c>
      <c r="E39" s="5">
        <v>-305</v>
      </c>
      <c r="F39" s="5">
        <v>0</v>
      </c>
      <c r="G39" s="5">
        <v>-779.76300000000003</v>
      </c>
      <c r="H39" s="5">
        <v>1325</v>
      </c>
      <c r="I39" s="5">
        <v>6.3489999999999993</v>
      </c>
      <c r="J39" s="5">
        <v>162.44999999999999</v>
      </c>
      <c r="K39" s="5">
        <v>850.47070000000053</v>
      </c>
      <c r="L39" s="5">
        <v>-1077.3590000000004</v>
      </c>
      <c r="M39" s="5">
        <v>0</v>
      </c>
      <c r="N39" s="5">
        <v>345.91300000000001</v>
      </c>
      <c r="O39" s="5">
        <v>0</v>
      </c>
      <c r="P39" s="5">
        <v>-90</v>
      </c>
      <c r="Q39" s="5">
        <v>0</v>
      </c>
      <c r="R39" s="5" t="s">
        <v>98</v>
      </c>
      <c r="S39" s="5">
        <v>-821.44600000000037</v>
      </c>
      <c r="T39" s="5">
        <v>29.024700000000166</v>
      </c>
      <c r="U39" s="5">
        <v>26.768603225806164</v>
      </c>
      <c r="V39" s="5">
        <v>2201</v>
      </c>
      <c r="W39" s="5">
        <v>0</v>
      </c>
      <c r="X39" s="5">
        <v>540</v>
      </c>
      <c r="Y39" s="5">
        <v>0</v>
      </c>
      <c r="Z39" s="5">
        <v>44</v>
      </c>
      <c r="AA39" s="5">
        <v>0</v>
      </c>
      <c r="AB39" s="5" t="s">
        <v>98</v>
      </c>
      <c r="AC39" s="5">
        <f t="shared" si="0"/>
        <v>2785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15"/>
      <c r="BF39" s="5"/>
      <c r="BG39" s="5"/>
      <c r="BH39" s="7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15"/>
      <c r="CH39" s="5"/>
      <c r="CI39" s="5"/>
      <c r="CJ39" s="7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15"/>
      <c r="DJ39" s="5"/>
      <c r="DK39" s="5"/>
      <c r="DL39" s="7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15"/>
      <c r="EL39" s="5"/>
      <c r="EM39" s="5"/>
      <c r="EN39" s="7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15"/>
      <c r="FN39" s="5"/>
      <c r="FO39" s="5"/>
      <c r="FP39" s="7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15"/>
      <c r="GP39" s="5"/>
      <c r="GQ39" s="5"/>
      <c r="GR39" s="7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15"/>
      <c r="HR39" s="5"/>
      <c r="HS39" s="5"/>
      <c r="HT39" s="7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15"/>
    </row>
    <row r="40" spans="1:253" s="1" customFormat="1" ht="12" customHeight="1" x14ac:dyDescent="0.2">
      <c r="A40" s="15" t="s">
        <v>86</v>
      </c>
      <c r="B40" s="5">
        <v>29.024700000000024</v>
      </c>
      <c r="C40" s="5">
        <v>43.685999999999567</v>
      </c>
      <c r="D40" s="56">
        <v>305.40699999999975</v>
      </c>
      <c r="E40" s="5">
        <v>-306</v>
      </c>
      <c r="F40" s="5">
        <v>0</v>
      </c>
      <c r="G40" s="5">
        <v>-973.77499999999998</v>
      </c>
      <c r="H40" s="5">
        <v>600</v>
      </c>
      <c r="I40" s="5">
        <v>13.733000000000004</v>
      </c>
      <c r="J40" s="5">
        <v>19.503</v>
      </c>
      <c r="K40" s="5">
        <v>-268.42130000000066</v>
      </c>
      <c r="L40" s="5">
        <v>687.40799999999945</v>
      </c>
      <c r="M40" s="5">
        <v>0</v>
      </c>
      <c r="N40" s="5">
        <v>-541.13199999999995</v>
      </c>
      <c r="O40" s="5">
        <v>0</v>
      </c>
      <c r="P40" s="5">
        <v>-32</v>
      </c>
      <c r="Q40" s="5">
        <v>157</v>
      </c>
      <c r="R40" s="5" t="s">
        <v>98</v>
      </c>
      <c r="S40" s="5">
        <v>271.2759999999995</v>
      </c>
      <c r="T40" s="5">
        <v>2.8546999999988429</v>
      </c>
      <c r="U40" s="5">
        <v>38.152990322580536</v>
      </c>
      <c r="V40" s="5">
        <v>2897</v>
      </c>
      <c r="W40" s="5">
        <v>0</v>
      </c>
      <c r="X40" s="5">
        <v>0</v>
      </c>
      <c r="Y40" s="5">
        <v>0</v>
      </c>
      <c r="Z40" s="5">
        <v>12</v>
      </c>
      <c r="AA40" s="5">
        <v>157</v>
      </c>
      <c r="AB40" s="5" t="s">
        <v>98</v>
      </c>
      <c r="AC40" s="5">
        <f t="shared" si="0"/>
        <v>3066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253" s="1" customFormat="1" ht="12" customHeight="1" x14ac:dyDescent="0.2">
      <c r="A41" s="15" t="s">
        <v>87</v>
      </c>
      <c r="B41" s="5">
        <v>2.8546999999993545</v>
      </c>
      <c r="C41" s="7">
        <v>58.709299999999985</v>
      </c>
      <c r="D41" s="56">
        <v>24.676000000000279</v>
      </c>
      <c r="E41" s="5">
        <v>-353.24400000000003</v>
      </c>
      <c r="F41" s="5">
        <v>0</v>
      </c>
      <c r="G41" s="5">
        <v>-777.16499999999996</v>
      </c>
      <c r="H41" s="5">
        <v>675</v>
      </c>
      <c r="I41" s="5">
        <v>8.7889999999999997</v>
      </c>
      <c r="J41" s="5">
        <v>270.26300000000003</v>
      </c>
      <c r="K41" s="5">
        <v>-90.117000000000303</v>
      </c>
      <c r="L41" s="5">
        <v>58.194000000001324</v>
      </c>
      <c r="M41" s="5">
        <v>0</v>
      </c>
      <c r="N41" s="5">
        <v>214.98099999999999</v>
      </c>
      <c r="O41" s="5">
        <v>0</v>
      </c>
      <c r="P41" s="5">
        <v>-12</v>
      </c>
      <c r="Q41" s="5">
        <v>-157</v>
      </c>
      <c r="R41" s="5" t="s">
        <v>98</v>
      </c>
      <c r="S41" s="5">
        <v>104.17500000000132</v>
      </c>
      <c r="T41" s="5">
        <v>14.058000000001016</v>
      </c>
      <c r="U41" s="5">
        <v>24.868549999999509</v>
      </c>
      <c r="V41" s="5">
        <v>2964</v>
      </c>
      <c r="W41" s="5">
        <v>0</v>
      </c>
      <c r="X41" s="5">
        <v>215</v>
      </c>
      <c r="Y41" s="5">
        <v>0</v>
      </c>
      <c r="Z41" s="5">
        <v>0</v>
      </c>
      <c r="AA41" s="5">
        <v>0</v>
      </c>
      <c r="AB41" s="5" t="s">
        <v>98</v>
      </c>
      <c r="AC41" s="5">
        <f t="shared" si="0"/>
        <v>3179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253" s="1" customFormat="1" ht="12" customHeight="1" x14ac:dyDescent="0.2">
      <c r="A42" s="15" t="s">
        <v>88</v>
      </c>
      <c r="B42" s="5">
        <v>14.057999999999424</v>
      </c>
      <c r="C42" s="7">
        <v>-539.70600000000036</v>
      </c>
      <c r="D42" s="56">
        <v>279.28899999999925</v>
      </c>
      <c r="E42" s="5">
        <v>-348.1</v>
      </c>
      <c r="F42" s="5">
        <v>1483.4449999999999</v>
      </c>
      <c r="G42" s="5">
        <v>-776.64799999999991</v>
      </c>
      <c r="H42" s="5">
        <v>1325</v>
      </c>
      <c r="I42" s="5">
        <v>12.209</v>
      </c>
      <c r="J42" s="5">
        <v>-165.1</v>
      </c>
      <c r="K42" s="5">
        <v>1284.4469999999985</v>
      </c>
      <c r="L42" s="5">
        <v>-1142.7960000000039</v>
      </c>
      <c r="M42" s="5">
        <v>0</v>
      </c>
      <c r="N42" s="5">
        <v>-215.178</v>
      </c>
      <c r="O42" s="5">
        <v>0</v>
      </c>
      <c r="P42" s="5">
        <v>74</v>
      </c>
      <c r="Q42" s="5">
        <v>0</v>
      </c>
      <c r="R42" s="5" t="s">
        <v>98</v>
      </c>
      <c r="S42" s="5">
        <v>-1283.9740000000038</v>
      </c>
      <c r="T42" s="5">
        <v>0.47299999999472675</v>
      </c>
      <c r="U42" s="5">
        <v>60.257161290321719</v>
      </c>
      <c r="V42" s="5">
        <v>1831</v>
      </c>
      <c r="W42" s="5">
        <v>0</v>
      </c>
      <c r="X42" s="5">
        <v>0</v>
      </c>
      <c r="Y42" s="5">
        <v>0</v>
      </c>
      <c r="Z42" s="5">
        <v>74</v>
      </c>
      <c r="AA42" s="5">
        <v>0</v>
      </c>
      <c r="AB42" s="5" t="s">
        <v>98</v>
      </c>
      <c r="AC42" s="5">
        <f t="shared" si="0"/>
        <v>1905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253" s="1" customFormat="1" ht="12" customHeight="1" x14ac:dyDescent="0.2">
      <c r="A43" s="15" t="s">
        <v>89</v>
      </c>
      <c r="B43" s="5">
        <v>0.47299999999862052</v>
      </c>
      <c r="C43" s="7">
        <v>-667.42699999999843</v>
      </c>
      <c r="D43" s="56">
        <v>128.48900000000026</v>
      </c>
      <c r="E43" s="5">
        <v>-344.4</v>
      </c>
      <c r="F43" s="5">
        <v>0</v>
      </c>
      <c r="G43" s="5">
        <v>-775.68600000000004</v>
      </c>
      <c r="H43" s="5">
        <v>600</v>
      </c>
      <c r="I43" s="5">
        <v>11.321</v>
      </c>
      <c r="J43" s="5">
        <v>68.444999999999993</v>
      </c>
      <c r="K43" s="5">
        <v>-978.78499999999997</v>
      </c>
      <c r="L43" s="5">
        <v>1121.1600000000001</v>
      </c>
      <c r="M43" s="5">
        <v>1.0000000000005116E-2</v>
      </c>
      <c r="N43" s="5">
        <v>0</v>
      </c>
      <c r="O43" s="5">
        <v>0</v>
      </c>
      <c r="P43" s="5">
        <v>-74</v>
      </c>
      <c r="Q43" s="5">
        <v>199</v>
      </c>
      <c r="R43" s="5" t="s">
        <v>98</v>
      </c>
      <c r="S43" s="5">
        <v>1246.17</v>
      </c>
      <c r="T43" s="5">
        <v>267.38499999999999</v>
      </c>
      <c r="U43" s="5">
        <v>57.749899999999165</v>
      </c>
      <c r="V43" s="5">
        <v>2960</v>
      </c>
      <c r="W43" s="5">
        <v>0</v>
      </c>
      <c r="X43" s="5">
        <v>0</v>
      </c>
      <c r="Y43" s="5">
        <v>0</v>
      </c>
      <c r="Z43" s="5">
        <v>0</v>
      </c>
      <c r="AA43" s="5">
        <v>199</v>
      </c>
      <c r="AB43" s="5" t="s">
        <v>98</v>
      </c>
      <c r="AC43" s="5">
        <f t="shared" si="0"/>
        <v>3159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253" ht="12" customHeight="1" x14ac:dyDescent="0.2">
      <c r="A44" s="1" t="s">
        <v>90</v>
      </c>
      <c r="B44" s="56">
        <v>267.38499999999999</v>
      </c>
      <c r="C44" s="56">
        <v>271.68299999999999</v>
      </c>
      <c r="D44" s="56">
        <v>36.621999999999801</v>
      </c>
      <c r="E44" s="56">
        <v>-348.9</v>
      </c>
      <c r="F44" s="56">
        <v>0</v>
      </c>
      <c r="G44" s="56">
        <v>-966.7170000000001</v>
      </c>
      <c r="H44" s="56">
        <v>675</v>
      </c>
      <c r="I44" s="56">
        <v>9.2620000000000005</v>
      </c>
      <c r="J44" s="56">
        <v>-144.17299999999997</v>
      </c>
      <c r="K44" s="56">
        <v>-199.83800000000022</v>
      </c>
      <c r="L44" s="56">
        <v>418.35200000000077</v>
      </c>
      <c r="M44" s="56">
        <v>0</v>
      </c>
      <c r="N44" s="56">
        <v>-0.26999999999998181</v>
      </c>
      <c r="O44" s="56">
        <v>0</v>
      </c>
      <c r="P44" s="56">
        <v>0</v>
      </c>
      <c r="Q44" s="56">
        <v>-198</v>
      </c>
      <c r="R44" s="5" t="s">
        <v>98</v>
      </c>
      <c r="S44" s="56">
        <v>220.08200000000079</v>
      </c>
      <c r="T44" s="5">
        <v>20.244000000000568</v>
      </c>
      <c r="U44" s="5">
        <v>26.454322580644849</v>
      </c>
      <c r="V44" s="9">
        <v>3392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B44" s="5" t="s">
        <v>98</v>
      </c>
      <c r="AC44" s="5">
        <f t="shared" si="0"/>
        <v>3393</v>
      </c>
    </row>
    <row r="45" spans="1:253" s="9" customFormat="1" ht="12" customHeight="1" x14ac:dyDescent="0.2">
      <c r="A45" s="9" t="s">
        <v>91</v>
      </c>
      <c r="B45" s="56">
        <v>20.243999999999289</v>
      </c>
      <c r="C45" s="56">
        <v>-338.21700000000038</v>
      </c>
      <c r="D45" s="56">
        <v>43.56949999999992</v>
      </c>
      <c r="E45" s="56">
        <v>-350.61599999999999</v>
      </c>
      <c r="F45" s="56">
        <v>0</v>
      </c>
      <c r="G45" s="56">
        <v>-775.46199999999999</v>
      </c>
      <c r="H45" s="56">
        <v>1325</v>
      </c>
      <c r="I45" s="56">
        <v>5.444</v>
      </c>
      <c r="J45" s="56">
        <v>311.19200000000001</v>
      </c>
      <c r="K45" s="56">
        <v>241.15449999999879</v>
      </c>
      <c r="L45" s="56">
        <v>-639.25799999999981</v>
      </c>
      <c r="M45" s="56">
        <v>0</v>
      </c>
      <c r="N45" s="56">
        <v>350.63499999999999</v>
      </c>
      <c r="O45" s="56">
        <v>0</v>
      </c>
      <c r="P45" s="56">
        <v>52</v>
      </c>
      <c r="Q45" s="56">
        <v>-1</v>
      </c>
      <c r="R45" s="5" t="s">
        <v>98</v>
      </c>
      <c r="S45" s="56">
        <v>-237.62299999999993</v>
      </c>
      <c r="T45" s="5">
        <v>3.5314999999988572</v>
      </c>
      <c r="U45" s="5">
        <v>29.980249999999366</v>
      </c>
      <c r="V45" s="9">
        <v>2765</v>
      </c>
      <c r="W45" s="9">
        <v>0</v>
      </c>
      <c r="X45" s="9">
        <v>352</v>
      </c>
      <c r="Y45" s="9">
        <v>0</v>
      </c>
      <c r="Z45" s="9">
        <v>52</v>
      </c>
      <c r="AA45" s="9">
        <v>0</v>
      </c>
      <c r="AB45" s="5" t="s">
        <v>98</v>
      </c>
      <c r="AC45" s="5">
        <f t="shared" si="0"/>
        <v>3169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253" s="1" customFormat="1" ht="12" customHeight="1" x14ac:dyDescent="0.2">
      <c r="A46" s="73" t="s">
        <v>92</v>
      </c>
      <c r="B46" s="56">
        <v>3.5314999999990278</v>
      </c>
      <c r="C46" s="56">
        <v>141.09599999999958</v>
      </c>
      <c r="D46" s="56">
        <v>-5.7299999999999347</v>
      </c>
      <c r="E46" s="56">
        <v>-255.71199999999999</v>
      </c>
      <c r="F46" s="56">
        <v>0</v>
      </c>
      <c r="G46" s="56">
        <v>-969.29</v>
      </c>
      <c r="H46" s="56">
        <v>600</v>
      </c>
      <c r="I46" s="56">
        <v>5.1359999999999992</v>
      </c>
      <c r="J46" s="56">
        <v>831.73</v>
      </c>
      <c r="K46" s="56">
        <v>350.76149999999876</v>
      </c>
      <c r="L46" s="56">
        <v>-301.59100000000217</v>
      </c>
      <c r="M46" s="56">
        <v>0</v>
      </c>
      <c r="N46" s="56">
        <v>6.1649999999999636</v>
      </c>
      <c r="O46" s="56">
        <v>0</v>
      </c>
      <c r="P46" s="56">
        <v>-52</v>
      </c>
      <c r="Q46" s="56">
        <v>0</v>
      </c>
      <c r="R46" s="5" t="s">
        <v>98</v>
      </c>
      <c r="S46" s="56">
        <v>-347.4260000000022</v>
      </c>
      <c r="T46" s="5">
        <v>3.3354999999965571</v>
      </c>
      <c r="U46" s="5">
        <v>30.252733333332191</v>
      </c>
      <c r="V46" s="9">
        <v>2475</v>
      </c>
      <c r="W46" s="9">
        <v>0</v>
      </c>
      <c r="X46" s="9">
        <v>359</v>
      </c>
      <c r="Y46" s="9">
        <v>0</v>
      </c>
      <c r="Z46" s="9">
        <v>0</v>
      </c>
      <c r="AA46" s="9">
        <v>0</v>
      </c>
      <c r="AB46" s="5" t="s">
        <v>98</v>
      </c>
      <c r="AC46" s="5">
        <f t="shared" si="0"/>
        <v>2834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253" ht="12" customHeight="1" x14ac:dyDescent="0.2">
      <c r="A47" s="73" t="s">
        <v>93</v>
      </c>
      <c r="B47" s="56">
        <v>3.3354999999984614</v>
      </c>
      <c r="C47" s="56">
        <v>237.68100000000055</v>
      </c>
      <c r="D47" s="56">
        <v>-0.91900000000012216</v>
      </c>
      <c r="E47" s="56">
        <v>-256.23500000000001</v>
      </c>
      <c r="F47" s="56">
        <v>0</v>
      </c>
      <c r="G47" s="56">
        <v>-775.3</v>
      </c>
      <c r="H47" s="56">
        <v>675</v>
      </c>
      <c r="I47" s="56">
        <v>-16.622</v>
      </c>
      <c r="J47" s="56">
        <v>-263.45599999999996</v>
      </c>
      <c r="K47" s="56">
        <v>-396.51550000000111</v>
      </c>
      <c r="L47" s="56">
        <v>755.42500000000109</v>
      </c>
      <c r="M47" s="56">
        <v>0</v>
      </c>
      <c r="N47" s="56">
        <v>-359</v>
      </c>
      <c r="O47" s="56">
        <v>0</v>
      </c>
      <c r="P47" s="56">
        <v>7</v>
      </c>
      <c r="Q47" s="56">
        <v>0</v>
      </c>
      <c r="R47" s="5" t="s">
        <v>98</v>
      </c>
      <c r="S47" s="56">
        <v>403.42500000000109</v>
      </c>
      <c r="T47" s="5">
        <v>6.90949999999998</v>
      </c>
      <c r="U47" s="5">
        <v>64.607048387095404</v>
      </c>
      <c r="V47" s="9">
        <v>3241</v>
      </c>
      <c r="W47" s="9">
        <v>0</v>
      </c>
      <c r="X47" s="9">
        <v>0</v>
      </c>
      <c r="Y47" s="9">
        <v>0</v>
      </c>
      <c r="Z47" s="9">
        <v>7</v>
      </c>
      <c r="AA47" s="9">
        <v>0</v>
      </c>
      <c r="AB47" s="5" t="s">
        <v>98</v>
      </c>
      <c r="AC47" s="5">
        <f t="shared" si="0"/>
        <v>3248</v>
      </c>
    </row>
    <row r="48" spans="1:253" ht="12" customHeight="1" x14ac:dyDescent="0.2">
      <c r="A48" s="74">
        <v>37500</v>
      </c>
      <c r="B48" s="56">
        <v>6.9094999999988431</v>
      </c>
      <c r="C48" s="56">
        <v>-100.46300000000053</v>
      </c>
      <c r="D48" s="56">
        <v>-22.744000000000398</v>
      </c>
      <c r="E48" s="56">
        <v>-259.60000000000002</v>
      </c>
      <c r="F48" s="56">
        <v>0</v>
      </c>
      <c r="G48" s="56">
        <v>-776.36400000000003</v>
      </c>
      <c r="H48" s="56">
        <v>1325</v>
      </c>
      <c r="I48" s="56">
        <v>-0.19500000000000001</v>
      </c>
      <c r="J48" s="56">
        <v>74.900000000000006</v>
      </c>
      <c r="K48" s="56">
        <v>247.4434999999979</v>
      </c>
      <c r="L48" s="56">
        <v>-447.68400000000111</v>
      </c>
      <c r="M48" s="56">
        <v>0</v>
      </c>
      <c r="N48" s="56">
        <v>182</v>
      </c>
      <c r="O48" s="56">
        <v>0</v>
      </c>
      <c r="P48" s="56">
        <v>24</v>
      </c>
      <c r="Q48" s="5">
        <v>0</v>
      </c>
      <c r="R48" s="5" t="s">
        <v>98</v>
      </c>
      <c r="S48" s="56">
        <v>-241.68400000000111</v>
      </c>
      <c r="T48" s="5">
        <v>5.7594999999967911</v>
      </c>
      <c r="U48" s="5">
        <v>22.558866666664873</v>
      </c>
      <c r="V48" s="9">
        <v>2807</v>
      </c>
      <c r="W48" s="9">
        <v>0</v>
      </c>
      <c r="X48" s="9">
        <v>182</v>
      </c>
      <c r="Y48" s="9">
        <v>0</v>
      </c>
      <c r="Z48" s="9">
        <v>31</v>
      </c>
      <c r="AA48" s="9">
        <v>0</v>
      </c>
      <c r="AB48" s="5" t="s">
        <v>98</v>
      </c>
      <c r="AC48" s="5">
        <f t="shared" si="0"/>
        <v>3020</v>
      </c>
    </row>
    <row r="49" spans="1:243" ht="12" customHeight="1" x14ac:dyDescent="0.2">
      <c r="A49" s="74">
        <v>37530</v>
      </c>
      <c r="B49" s="56">
        <v>5.1794999999978586</v>
      </c>
      <c r="C49" s="56">
        <v>-198.48449999999781</v>
      </c>
      <c r="D49" s="56">
        <v>-137.91699999999994</v>
      </c>
      <c r="E49" s="56">
        <v>-253</v>
      </c>
      <c r="F49" s="56">
        <v>0</v>
      </c>
      <c r="G49" s="56">
        <v>-969.84399999999994</v>
      </c>
      <c r="H49" s="56">
        <v>600</v>
      </c>
      <c r="I49" s="56">
        <v>15.108000000000001</v>
      </c>
      <c r="J49" s="56">
        <v>-304.88600000000002</v>
      </c>
      <c r="K49" s="5">
        <v>-1243.8439999999998</v>
      </c>
      <c r="L49" s="5">
        <v>1250.4180000000015</v>
      </c>
      <c r="M49" s="56">
        <v>0</v>
      </c>
      <c r="N49" s="56">
        <v>-6.9460000000000264</v>
      </c>
      <c r="O49" s="56">
        <v>0</v>
      </c>
      <c r="P49" s="56">
        <v>-16</v>
      </c>
      <c r="Q49" s="56">
        <v>19</v>
      </c>
      <c r="R49" s="5" t="s">
        <v>98</v>
      </c>
      <c r="S49" s="5">
        <v>1246.4720000000016</v>
      </c>
      <c r="T49" s="56">
        <v>2.628000000001748</v>
      </c>
      <c r="U49" s="56">
        <v>29.340399999999004</v>
      </c>
      <c r="V49" s="9">
        <v>4070</v>
      </c>
      <c r="W49" s="56">
        <v>0</v>
      </c>
      <c r="X49" s="56">
        <v>176</v>
      </c>
      <c r="Y49" s="56">
        <v>0</v>
      </c>
      <c r="Z49" s="56">
        <v>15</v>
      </c>
      <c r="AA49" s="56">
        <v>19</v>
      </c>
      <c r="AB49" s="5" t="s">
        <v>98</v>
      </c>
      <c r="AC49" s="5">
        <f t="shared" si="0"/>
        <v>4280</v>
      </c>
    </row>
    <row r="50" spans="1:243" ht="12" customHeight="1" x14ac:dyDescent="0.2">
      <c r="A50" s="74">
        <v>37561</v>
      </c>
      <c r="B50" s="56">
        <v>2.6280000000000854</v>
      </c>
      <c r="C50" s="56">
        <v>-1042.9509999999989</v>
      </c>
      <c r="D50" s="56">
        <v>40.437000000000545</v>
      </c>
      <c r="E50" s="56">
        <v>-256.7</v>
      </c>
      <c r="F50" s="56">
        <v>0</v>
      </c>
      <c r="G50" s="56">
        <v>-775.30700000000002</v>
      </c>
      <c r="H50" s="56">
        <v>675</v>
      </c>
      <c r="I50" s="56">
        <v>5.81</v>
      </c>
      <c r="J50" s="56">
        <v>-26.685999999999993</v>
      </c>
      <c r="K50" s="5">
        <v>-1377.7689999999982</v>
      </c>
      <c r="L50" s="5">
        <v>207.71600000000035</v>
      </c>
      <c r="M50" s="56">
        <v>0</v>
      </c>
      <c r="N50" s="56">
        <v>1247.5539999999996</v>
      </c>
      <c r="O50" s="56">
        <v>0</v>
      </c>
      <c r="P50" s="56">
        <v>91.440000000000055</v>
      </c>
      <c r="Q50" s="56">
        <v>295.60000000000002</v>
      </c>
      <c r="R50" s="5" t="s">
        <v>98</v>
      </c>
      <c r="S50" s="5">
        <v>1842.31</v>
      </c>
      <c r="T50" s="56">
        <v>464.54100000000176</v>
      </c>
      <c r="U50" s="56">
        <v>95.306666666667695</v>
      </c>
      <c r="V50" s="9">
        <v>4295</v>
      </c>
      <c r="W50" s="56">
        <v>0</v>
      </c>
      <c r="X50" s="56">
        <v>1426</v>
      </c>
      <c r="Y50" s="56">
        <v>0</v>
      </c>
      <c r="Z50" s="56">
        <v>106</v>
      </c>
      <c r="AA50" s="56">
        <v>315</v>
      </c>
      <c r="AB50" s="5" t="s">
        <v>98</v>
      </c>
      <c r="AC50" s="5">
        <f t="shared" si="0"/>
        <v>6142</v>
      </c>
    </row>
    <row r="51" spans="1:243" s="1" customFormat="1" ht="12" customHeight="1" x14ac:dyDescent="0.2">
      <c r="A51" s="75">
        <v>37591</v>
      </c>
      <c r="B51" s="56">
        <v>464.54100000000165</v>
      </c>
      <c r="C51" s="56">
        <v>600.95749999999998</v>
      </c>
      <c r="D51" s="56">
        <v>-513.68000000000063</v>
      </c>
      <c r="E51" s="56">
        <v>-257.548</v>
      </c>
      <c r="F51" s="56">
        <v>0</v>
      </c>
      <c r="G51" s="56">
        <v>-970.34799999999996</v>
      </c>
      <c r="H51" s="56">
        <v>1325</v>
      </c>
      <c r="I51" s="56">
        <v>3.1749999999999998</v>
      </c>
      <c r="J51" s="56">
        <v>1001.3</v>
      </c>
      <c r="K51" s="56">
        <v>1653.3975000000014</v>
      </c>
      <c r="L51" s="56">
        <v>-1396.8159999999989</v>
      </c>
      <c r="M51" s="56">
        <v>0</v>
      </c>
      <c r="N51" s="56">
        <v>162.62</v>
      </c>
      <c r="O51" s="56">
        <v>0</v>
      </c>
      <c r="P51" s="56">
        <v>-93.440000000000055</v>
      </c>
      <c r="Q51" s="56">
        <v>-314.7</v>
      </c>
      <c r="R51" s="5" t="s">
        <v>98</v>
      </c>
      <c r="S51" s="56">
        <v>-1642.3359999999993</v>
      </c>
      <c r="T51" s="5">
        <v>11.06150000000207</v>
      </c>
      <c r="U51" s="5">
        <v>128.05683870967911</v>
      </c>
      <c r="V51" s="9">
        <v>2916</v>
      </c>
      <c r="W51" s="9">
        <v>0</v>
      </c>
      <c r="X51" s="9">
        <v>1591</v>
      </c>
      <c r="Y51" s="9">
        <v>0</v>
      </c>
      <c r="Z51" s="9">
        <v>13</v>
      </c>
      <c r="AA51" s="9">
        <v>0</v>
      </c>
      <c r="AB51" s="5" t="s">
        <v>98</v>
      </c>
      <c r="AC51" s="5">
        <f t="shared" si="0"/>
        <v>4520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243" ht="12" customHeight="1" x14ac:dyDescent="0.2">
      <c r="A52" s="75">
        <v>37622</v>
      </c>
      <c r="B52" s="56">
        <v>11.061500000002013</v>
      </c>
      <c r="C52" s="56">
        <v>-580.15599999999972</v>
      </c>
      <c r="D52" s="56">
        <v>722.41299999999978</v>
      </c>
      <c r="E52" s="56">
        <v>0</v>
      </c>
      <c r="F52" s="56">
        <v>0</v>
      </c>
      <c r="G52" s="56">
        <v>-776.202</v>
      </c>
      <c r="H52" s="56">
        <v>600</v>
      </c>
      <c r="I52" s="56">
        <v>2.7089999999999996</v>
      </c>
      <c r="J52" s="56">
        <v>-121.31399999999998</v>
      </c>
      <c r="K52" s="56">
        <v>-141.48849999999786</v>
      </c>
      <c r="L52" s="56">
        <v>1509.5390000000007</v>
      </c>
      <c r="M52" s="5">
        <v>0</v>
      </c>
      <c r="N52" s="5">
        <v>-1265.6300000000001</v>
      </c>
      <c r="O52" s="9">
        <v>0</v>
      </c>
      <c r="P52" s="9">
        <v>-13</v>
      </c>
      <c r="Q52" s="9">
        <v>0</v>
      </c>
      <c r="R52" s="5" t="s">
        <v>98</v>
      </c>
      <c r="S52" s="5">
        <v>230.90900000000079</v>
      </c>
      <c r="T52" s="5">
        <v>89.420500000002932</v>
      </c>
      <c r="U52" s="5">
        <v>58.101274193550488</v>
      </c>
      <c r="V52" s="5">
        <v>4440</v>
      </c>
      <c r="W52" s="5">
        <v>0</v>
      </c>
      <c r="X52" s="5">
        <v>332</v>
      </c>
      <c r="Y52" s="5">
        <v>0</v>
      </c>
      <c r="Z52" s="5">
        <v>0</v>
      </c>
      <c r="AA52" s="5">
        <v>0</v>
      </c>
      <c r="AB52" s="5" t="s">
        <v>98</v>
      </c>
      <c r="AC52" s="5">
        <f t="shared" si="0"/>
        <v>4772</v>
      </c>
      <c r="AN52"/>
      <c r="AO52"/>
      <c r="AP52"/>
    </row>
    <row r="53" spans="1:243" s="9" customFormat="1" ht="12" customHeight="1" x14ac:dyDescent="0.2">
      <c r="A53" s="75">
        <v>37653</v>
      </c>
      <c r="B53" s="3">
        <v>89.420500000001766</v>
      </c>
      <c r="C53" s="3">
        <v>-108.20724919000259</v>
      </c>
      <c r="D53" s="56">
        <v>7.9991121900001012</v>
      </c>
      <c r="E53" s="3">
        <v>-154</v>
      </c>
      <c r="F53" s="3">
        <v>0</v>
      </c>
      <c r="G53" s="3">
        <v>-776</v>
      </c>
      <c r="H53" s="3">
        <v>675</v>
      </c>
      <c r="I53" s="3">
        <v>6.0979999999999999</v>
      </c>
      <c r="J53" s="3">
        <v>55.736000000000004</v>
      </c>
      <c r="K53" s="3">
        <v>-203.9536370000007</v>
      </c>
      <c r="L53" s="3">
        <v>-496.18535999999949</v>
      </c>
      <c r="M53" s="3">
        <v>0</v>
      </c>
      <c r="N53" s="3">
        <v>757.31100000000038</v>
      </c>
      <c r="O53" s="3">
        <v>0</v>
      </c>
      <c r="P53" s="3">
        <v>0</v>
      </c>
      <c r="Q53" s="3">
        <v>0.19900000000001228</v>
      </c>
      <c r="R53" s="5" t="s">
        <v>98</v>
      </c>
      <c r="S53" s="3">
        <v>261.3246400000009</v>
      </c>
      <c r="T53" s="3">
        <v>57.371003000000201</v>
      </c>
      <c r="U53" s="3">
        <v>46.796532812142978</v>
      </c>
      <c r="V53" s="9">
        <v>3960</v>
      </c>
      <c r="W53" s="9">
        <v>0</v>
      </c>
      <c r="X53" s="9">
        <v>1093</v>
      </c>
      <c r="Y53" s="9">
        <v>0</v>
      </c>
      <c r="Z53" s="9">
        <v>0</v>
      </c>
      <c r="AA53" s="9">
        <v>0</v>
      </c>
      <c r="AB53" s="5" t="s">
        <v>98</v>
      </c>
      <c r="AC53" s="5">
        <f t="shared" si="0"/>
        <v>5053</v>
      </c>
      <c r="AD53" s="5"/>
      <c r="AE53" s="3"/>
      <c r="AF53" s="3"/>
      <c r="AH53" s="3"/>
      <c r="AI53" s="3"/>
      <c r="AK53" s="3"/>
      <c r="AL53" s="3"/>
      <c r="AM53" s="3"/>
      <c r="AN53" s="3"/>
      <c r="AO53" s="3"/>
      <c r="AP53" s="3"/>
      <c r="AS53" s="3"/>
      <c r="AV53" s="3"/>
      <c r="AW53" s="3"/>
      <c r="AX53" s="3"/>
      <c r="AY53" s="3"/>
      <c r="AZ53" s="3"/>
      <c r="BA53" s="3"/>
      <c r="BD53" s="3"/>
      <c r="BF53" s="3"/>
      <c r="BG53" s="3"/>
      <c r="BQ53" s="3"/>
      <c r="BR53" s="77"/>
      <c r="BT53" s="3"/>
      <c r="BU53" s="3"/>
      <c r="BW53" s="3"/>
      <c r="BX53" s="3"/>
      <c r="BZ53" s="3"/>
      <c r="CA53" s="3"/>
      <c r="CB53" s="3"/>
      <c r="CC53" s="3"/>
      <c r="CD53" s="3"/>
      <c r="CE53" s="3"/>
      <c r="CH53" s="3"/>
      <c r="CK53" s="3"/>
      <c r="CL53" s="3"/>
      <c r="CM53" s="3"/>
      <c r="CN53" s="3"/>
      <c r="CO53" s="3"/>
      <c r="CP53" s="3"/>
      <c r="CS53" s="3"/>
      <c r="CU53" s="3"/>
      <c r="CV53" s="3"/>
      <c r="DF53" s="3"/>
      <c r="DG53" s="77"/>
      <c r="DI53" s="3"/>
      <c r="DJ53" s="3"/>
      <c r="DL53" s="3"/>
      <c r="DM53" s="3"/>
      <c r="DO53" s="3"/>
      <c r="DP53" s="3"/>
      <c r="DQ53" s="3"/>
      <c r="DR53" s="3"/>
      <c r="DS53" s="3"/>
      <c r="DT53" s="3"/>
      <c r="DW53" s="3"/>
      <c r="DZ53" s="3"/>
      <c r="EA53" s="3"/>
      <c r="EB53" s="3"/>
      <c r="EC53" s="3"/>
      <c r="ED53" s="3"/>
      <c r="EE53" s="3"/>
      <c r="EH53" s="3"/>
      <c r="EJ53" s="3"/>
      <c r="EK53" s="3"/>
      <c r="EU53" s="3"/>
      <c r="EV53" s="77"/>
      <c r="EX53" s="3"/>
      <c r="EY53" s="3"/>
      <c r="FA53" s="3"/>
      <c r="FB53" s="3"/>
      <c r="FD53" s="3"/>
      <c r="FE53" s="3"/>
      <c r="FF53" s="3"/>
      <c r="FG53" s="3"/>
      <c r="FH53" s="3"/>
      <c r="FI53" s="3"/>
      <c r="FL53" s="3"/>
      <c r="FO53" s="3"/>
      <c r="FP53" s="3"/>
      <c r="FQ53" s="3"/>
      <c r="FR53" s="3"/>
      <c r="FS53" s="3"/>
      <c r="FT53" s="3"/>
      <c r="FW53" s="3"/>
      <c r="FY53" s="3"/>
      <c r="FZ53" s="3"/>
      <c r="GJ53" s="3"/>
      <c r="GK53" s="77"/>
      <c r="GM53" s="3"/>
      <c r="GN53" s="3"/>
      <c r="GP53" s="3"/>
      <c r="GQ53" s="3"/>
      <c r="GS53" s="3"/>
      <c r="GT53" s="3"/>
      <c r="GU53" s="3"/>
      <c r="GV53" s="3"/>
      <c r="GW53" s="3"/>
      <c r="GX53" s="3"/>
      <c r="HA53" s="3"/>
      <c r="HD53" s="3"/>
      <c r="HE53" s="3"/>
      <c r="HF53" s="3"/>
      <c r="HG53" s="3"/>
      <c r="HH53" s="3"/>
      <c r="HI53" s="3"/>
      <c r="HL53" s="3"/>
      <c r="HN53" s="3"/>
      <c r="HO53" s="3"/>
      <c r="HY53" s="3"/>
      <c r="HZ53" s="77"/>
      <c r="IB53" s="3"/>
      <c r="IC53" s="3"/>
      <c r="IE53" s="3"/>
      <c r="IF53" s="3"/>
      <c r="IH53" s="3"/>
      <c r="II53" s="3"/>
    </row>
    <row r="54" spans="1:243" ht="12" customHeight="1" x14ac:dyDescent="0.2">
      <c r="A54" s="75">
        <v>37681</v>
      </c>
      <c r="B54" s="3">
        <v>57.37100299999986</v>
      </c>
      <c r="C54" s="3">
        <v>-934.44200300000136</v>
      </c>
      <c r="D54" s="56">
        <v>146.32800000000083</v>
      </c>
      <c r="E54" s="5">
        <v>-155.39699999999999</v>
      </c>
      <c r="F54" s="9">
        <v>0</v>
      </c>
      <c r="G54" s="5">
        <v>-777.14599999999996</v>
      </c>
      <c r="H54" s="9">
        <v>1325</v>
      </c>
      <c r="I54" s="5">
        <v>5.9669999999999996</v>
      </c>
      <c r="J54" s="5">
        <v>3.0410000000000039</v>
      </c>
      <c r="K54" s="3">
        <v>-329.27800000000053</v>
      </c>
      <c r="L54" s="3">
        <v>-210.19900000000052</v>
      </c>
      <c r="M54" s="3">
        <v>0</v>
      </c>
      <c r="N54" s="3">
        <v>474.86799999999994</v>
      </c>
      <c r="O54" s="3">
        <v>0</v>
      </c>
      <c r="P54" s="3">
        <v>68</v>
      </c>
      <c r="Q54" s="3">
        <v>0</v>
      </c>
      <c r="R54" s="5" t="s">
        <v>98</v>
      </c>
      <c r="S54" s="3">
        <v>332.66899999999941</v>
      </c>
      <c r="T54" s="5">
        <v>3.3909999999988827</v>
      </c>
      <c r="U54" s="5">
        <v>32.884001741935926</v>
      </c>
      <c r="V54" s="5">
        <v>3769</v>
      </c>
      <c r="W54" s="5">
        <v>0</v>
      </c>
      <c r="X54" s="5">
        <v>1574</v>
      </c>
      <c r="Y54" s="5">
        <v>0</v>
      </c>
      <c r="Z54" s="5">
        <v>68</v>
      </c>
      <c r="AA54" s="5">
        <v>0</v>
      </c>
      <c r="AB54" s="5" t="s">
        <v>98</v>
      </c>
      <c r="AC54" s="5">
        <f t="shared" si="0"/>
        <v>5411</v>
      </c>
    </row>
    <row r="55" spans="1:243" s="1" customFormat="1" ht="12" customHeight="1" x14ac:dyDescent="0.2">
      <c r="A55" s="75">
        <v>37712</v>
      </c>
      <c r="B55" s="56">
        <v>3.3909999999994702</v>
      </c>
      <c r="C55" s="56">
        <v>-668.23799999999915</v>
      </c>
      <c r="D55" s="56">
        <v>676.9609999999991</v>
      </c>
      <c r="E55" s="56">
        <v>-203.6</v>
      </c>
      <c r="F55" s="56">
        <v>1554.808</v>
      </c>
      <c r="G55" s="56">
        <v>-972.0139999999999</v>
      </c>
      <c r="H55" s="56">
        <v>600</v>
      </c>
      <c r="I55" s="56">
        <v>7.8269999999995541</v>
      </c>
      <c r="J55" s="56">
        <v>117.19499999999999</v>
      </c>
      <c r="K55" s="56">
        <v>1116.33</v>
      </c>
      <c r="L55" s="56">
        <v>-292.34500000000116</v>
      </c>
      <c r="M55" s="56">
        <v>0</v>
      </c>
      <c r="N55" s="56">
        <v>-636.18299999999999</v>
      </c>
      <c r="O55" s="56">
        <v>0</v>
      </c>
      <c r="P55" s="56">
        <v>-68</v>
      </c>
      <c r="Q55" s="56">
        <v>0</v>
      </c>
      <c r="R55" s="5" t="s">
        <v>98</v>
      </c>
      <c r="S55" s="56">
        <v>-996.52800000000116</v>
      </c>
      <c r="T55" s="5">
        <v>119.80199999999786</v>
      </c>
      <c r="U55" s="5">
        <v>49.919266666666111</v>
      </c>
      <c r="V55" s="5">
        <v>3490</v>
      </c>
      <c r="W55" s="5">
        <v>0</v>
      </c>
      <c r="X55" s="5">
        <v>943</v>
      </c>
      <c r="Y55" s="5">
        <v>0</v>
      </c>
      <c r="Z55" s="5">
        <v>0</v>
      </c>
      <c r="AA55" s="5">
        <v>0</v>
      </c>
      <c r="AB55" s="5" t="s">
        <v>98</v>
      </c>
      <c r="AC55" s="5">
        <f t="shared" si="0"/>
        <v>4433</v>
      </c>
      <c r="AD55" s="5"/>
    </row>
    <row r="56" spans="1:243" ht="12" customHeight="1" x14ac:dyDescent="0.2">
      <c r="A56" s="75">
        <v>37742</v>
      </c>
      <c r="B56" s="56">
        <v>119.801999999999</v>
      </c>
      <c r="C56" s="56">
        <v>684.90549999999973</v>
      </c>
      <c r="D56" s="56">
        <v>193.35099999999989</v>
      </c>
      <c r="E56" s="56">
        <v>0</v>
      </c>
      <c r="F56" s="56">
        <v>0</v>
      </c>
      <c r="G56" s="56">
        <v>-777.94600000000003</v>
      </c>
      <c r="H56" s="56">
        <v>675</v>
      </c>
      <c r="I56" s="56">
        <v>3.2710000000000221</v>
      </c>
      <c r="J56" s="56">
        <v>-130.398</v>
      </c>
      <c r="K56" s="56">
        <v>767.98549999999864</v>
      </c>
      <c r="L56" s="56">
        <v>-969.47570000000087</v>
      </c>
      <c r="M56" s="56">
        <v>0</v>
      </c>
      <c r="N56" s="56">
        <v>156.36599999999953</v>
      </c>
      <c r="O56" s="56">
        <v>0</v>
      </c>
      <c r="P56" s="56">
        <v>47</v>
      </c>
      <c r="Q56" s="56">
        <v>0</v>
      </c>
      <c r="R56" s="5" t="s">
        <v>98</v>
      </c>
      <c r="S56" s="56">
        <v>-766.10970000000134</v>
      </c>
      <c r="T56" s="5">
        <v>1.8757999999972981</v>
      </c>
      <c r="U56" s="5">
        <v>56.009480645160366</v>
      </c>
      <c r="V56" s="5">
        <v>2533</v>
      </c>
      <c r="W56" s="5">
        <v>0</v>
      </c>
      <c r="X56" s="5">
        <v>1103</v>
      </c>
      <c r="Y56" s="5">
        <v>0</v>
      </c>
      <c r="Z56" s="5">
        <v>47</v>
      </c>
      <c r="AA56" s="5">
        <v>0</v>
      </c>
      <c r="AB56" s="5" t="s">
        <v>98</v>
      </c>
      <c r="AC56" s="5">
        <f t="shared" si="0"/>
        <v>3683</v>
      </c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"/>
      <c r="AS56" s="5"/>
      <c r="AT56" s="5"/>
      <c r="AU56" s="5"/>
      <c r="AV56" s="5"/>
      <c r="AW56" s="5"/>
      <c r="AX56" s="5"/>
      <c r="AY56" s="5"/>
      <c r="AZ56" s="5"/>
    </row>
    <row r="57" spans="1:243" s="81" customFormat="1" ht="12" customHeight="1" x14ac:dyDescent="0.2">
      <c r="A57" s="75">
        <v>37773</v>
      </c>
      <c r="B57" s="56">
        <v>1.8757999999988897</v>
      </c>
      <c r="C57" s="56">
        <v>17.588000000000989</v>
      </c>
      <c r="D57" s="56">
        <v>45.042999999999331</v>
      </c>
      <c r="E57" s="56">
        <v>-531.22699999999998</v>
      </c>
      <c r="F57" s="56">
        <v>0</v>
      </c>
      <c r="G57" s="56">
        <v>-779.31299999999999</v>
      </c>
      <c r="H57" s="56">
        <v>1250</v>
      </c>
      <c r="I57" s="56">
        <v>1.8140000000000027</v>
      </c>
      <c r="J57" s="56">
        <v>459.35600000000011</v>
      </c>
      <c r="K57" s="56">
        <v>465.13679999999937</v>
      </c>
      <c r="L57" s="56">
        <v>-501.91700000000128</v>
      </c>
      <c r="M57" s="56">
        <v>0</v>
      </c>
      <c r="N57" s="56">
        <v>6.5529999999998836</v>
      </c>
      <c r="O57" s="56">
        <v>0</v>
      </c>
      <c r="P57" s="56">
        <v>32</v>
      </c>
      <c r="Q57" s="56">
        <v>0</v>
      </c>
      <c r="R57" s="5" t="s">
        <v>98</v>
      </c>
      <c r="S57" s="56">
        <v>-463.3640000000014</v>
      </c>
      <c r="T57" s="5">
        <v>1.7727999999979716</v>
      </c>
      <c r="U57" s="5">
        <v>27.459766666665555</v>
      </c>
      <c r="V57" s="5">
        <v>2040</v>
      </c>
      <c r="W57" s="5">
        <v>0</v>
      </c>
      <c r="X57" s="5">
        <v>1111</v>
      </c>
      <c r="Y57" s="5">
        <v>0</v>
      </c>
      <c r="Z57" s="5">
        <v>79</v>
      </c>
      <c r="AA57" s="5">
        <v>0</v>
      </c>
      <c r="AB57" s="5" t="s">
        <v>98</v>
      </c>
      <c r="AC57" s="5">
        <f t="shared" si="0"/>
        <v>3230</v>
      </c>
      <c r="AD57" s="5"/>
    </row>
    <row r="58" spans="1:243" s="1" customFormat="1" ht="12" customHeight="1" x14ac:dyDescent="0.2">
      <c r="A58" s="75">
        <v>37803</v>
      </c>
      <c r="B58" s="56">
        <v>1.77279999999854</v>
      </c>
      <c r="C58" s="56">
        <v>-191.5419999999994</v>
      </c>
      <c r="D58" s="56">
        <v>14.956000000000095</v>
      </c>
      <c r="E58" s="56">
        <v>-264.346</v>
      </c>
      <c r="F58" s="56">
        <v>0</v>
      </c>
      <c r="G58" s="56">
        <v>-974.72699999999998</v>
      </c>
      <c r="H58" s="56">
        <v>600</v>
      </c>
      <c r="I58" s="56">
        <v>6.5160000000000009</v>
      </c>
      <c r="J58" s="56">
        <v>49.292000000000002</v>
      </c>
      <c r="K58" s="56">
        <v>-758.07820000000083</v>
      </c>
      <c r="L58" s="56">
        <v>961.86300000000119</v>
      </c>
      <c r="M58" s="56">
        <v>0</v>
      </c>
      <c r="N58" s="56">
        <v>-260.57100000000003</v>
      </c>
      <c r="O58" s="56">
        <v>0</v>
      </c>
      <c r="P58" s="56">
        <v>59</v>
      </c>
      <c r="Q58" s="56">
        <v>-0.29999999999995453</v>
      </c>
      <c r="R58" s="5" t="s">
        <v>98</v>
      </c>
      <c r="S58" s="56">
        <v>759.99200000000121</v>
      </c>
      <c r="T58" s="5">
        <v>1.9138000000003785</v>
      </c>
      <c r="U58" s="5">
        <v>99.533000000000641</v>
      </c>
      <c r="V58" s="5">
        <v>3012</v>
      </c>
      <c r="W58" s="5">
        <v>0</v>
      </c>
      <c r="X58" s="5">
        <v>852</v>
      </c>
      <c r="Y58" s="5">
        <v>0</v>
      </c>
      <c r="Z58" s="5">
        <v>138</v>
      </c>
      <c r="AA58" s="5">
        <v>0</v>
      </c>
      <c r="AB58" s="5" t="s">
        <v>98</v>
      </c>
      <c r="AC58" s="5">
        <f t="shared" si="0"/>
        <v>4002</v>
      </c>
      <c r="AD58" s="5"/>
    </row>
    <row r="59" spans="1:243" s="1" customFormat="1" ht="12" customHeight="1" x14ac:dyDescent="0.2">
      <c r="A59" s="75">
        <v>37834</v>
      </c>
      <c r="B59" s="56">
        <v>2.4410000000008836</v>
      </c>
      <c r="C59" s="56">
        <v>107.63500000000001</v>
      </c>
      <c r="D59" s="56">
        <v>5.3969999999997826</v>
      </c>
      <c r="E59" s="56">
        <v>-254.595</v>
      </c>
      <c r="F59" s="56">
        <v>0</v>
      </c>
      <c r="G59" s="56">
        <v>-778.05100000000004</v>
      </c>
      <c r="H59" s="56">
        <v>675</v>
      </c>
      <c r="I59" s="56">
        <v>16.132000000000005</v>
      </c>
      <c r="J59" s="56">
        <v>-190.71099999999998</v>
      </c>
      <c r="K59" s="56">
        <v>-416.75199999999927</v>
      </c>
      <c r="L59" s="56">
        <v>895.94100000000071</v>
      </c>
      <c r="M59" s="56">
        <v>0</v>
      </c>
      <c r="N59" s="56">
        <v>-346.01800000000003</v>
      </c>
      <c r="O59" s="56">
        <v>0</v>
      </c>
      <c r="P59" s="56">
        <v>-36</v>
      </c>
      <c r="Q59" s="56">
        <v>0</v>
      </c>
      <c r="R59" s="5" t="s">
        <v>98</v>
      </c>
      <c r="S59" s="56">
        <v>513.92300000000068</v>
      </c>
      <c r="T59" s="5">
        <v>97.171000000001413</v>
      </c>
      <c r="U59" s="5">
        <v>42.989580645162611</v>
      </c>
      <c r="V59" s="5">
        <v>3919</v>
      </c>
      <c r="W59" s="5">
        <v>0</v>
      </c>
      <c r="X59" s="5">
        <v>509</v>
      </c>
      <c r="Y59" s="5">
        <v>0</v>
      </c>
      <c r="Z59" s="5">
        <v>102</v>
      </c>
      <c r="AA59" s="5">
        <v>0</v>
      </c>
      <c r="AB59" s="5" t="s">
        <v>98</v>
      </c>
      <c r="AC59" s="5">
        <f t="shared" si="0"/>
        <v>4530</v>
      </c>
      <c r="AD59" s="5"/>
    </row>
    <row r="60" spans="1:243" s="78" customFormat="1" ht="12" customHeight="1" x14ac:dyDescent="0.2">
      <c r="A60" s="75">
        <v>37866</v>
      </c>
      <c r="B60" s="56">
        <v>97.171000000001413</v>
      </c>
      <c r="C60" s="56">
        <v>132.16699999999929</v>
      </c>
      <c r="D60" s="56">
        <v>-32.534000000000155</v>
      </c>
      <c r="E60" s="56">
        <v>-308.33499999999998</v>
      </c>
      <c r="F60" s="56">
        <v>0</v>
      </c>
      <c r="G60" s="56">
        <v>-777.89</v>
      </c>
      <c r="H60" s="56">
        <v>1325</v>
      </c>
      <c r="I60" s="56">
        <v>10.158999999999997</v>
      </c>
      <c r="J60" s="56">
        <v>282.73699999999997</v>
      </c>
      <c r="K60" s="56">
        <v>728.47500000000059</v>
      </c>
      <c r="L60" s="56">
        <v>-625.14700000000448</v>
      </c>
      <c r="M60" s="56">
        <v>0</v>
      </c>
      <c r="N60" s="56">
        <v>-11.515999999999849</v>
      </c>
      <c r="O60" s="56">
        <v>0</v>
      </c>
      <c r="P60" s="56">
        <v>-71</v>
      </c>
      <c r="Q60" s="56">
        <v>0</v>
      </c>
      <c r="R60" s="5" t="s">
        <v>98</v>
      </c>
      <c r="S60" s="56">
        <v>-707.66300000000433</v>
      </c>
      <c r="T60" s="5">
        <v>20.81199999999626</v>
      </c>
      <c r="U60" s="5">
        <v>37.489766666667485</v>
      </c>
      <c r="V60" s="5">
        <v>3308</v>
      </c>
      <c r="W60" s="5">
        <v>0</v>
      </c>
      <c r="X60" s="5">
        <v>506</v>
      </c>
      <c r="Y60" s="5">
        <v>0</v>
      </c>
      <c r="Z60" s="5">
        <v>31</v>
      </c>
      <c r="AA60" s="5">
        <v>0</v>
      </c>
      <c r="AB60" s="5" t="s">
        <v>98</v>
      </c>
      <c r="AC60" s="5">
        <f t="shared" si="0"/>
        <v>3845</v>
      </c>
      <c r="AD60" s="5"/>
      <c r="AO60" s="76"/>
      <c r="AP60" s="76"/>
    </row>
    <row r="61" spans="1:243" s="79" customFormat="1" ht="12" customHeight="1" x14ac:dyDescent="0.2">
      <c r="A61" s="75">
        <v>37895</v>
      </c>
      <c r="B61" s="56">
        <v>20.812000000000523</v>
      </c>
      <c r="C61" s="56">
        <v>-313.52599999999995</v>
      </c>
      <c r="D61" s="56">
        <v>-102.36500000000122</v>
      </c>
      <c r="E61" s="56">
        <v>-303.01799999999997</v>
      </c>
      <c r="F61" s="56">
        <v>0</v>
      </c>
      <c r="G61" s="56">
        <v>-971.89499999999998</v>
      </c>
      <c r="H61" s="56">
        <v>675</v>
      </c>
      <c r="I61" s="56">
        <v>12.3</v>
      </c>
      <c r="J61" s="56">
        <v>730.20599999999968</v>
      </c>
      <c r="K61" s="56">
        <v>-251.65600000000143</v>
      </c>
      <c r="L61" s="56">
        <v>162.61200000000099</v>
      </c>
      <c r="M61" s="5">
        <v>0</v>
      </c>
      <c r="N61" s="5">
        <v>65.073999999999614</v>
      </c>
      <c r="O61" s="5">
        <v>0</v>
      </c>
      <c r="P61" s="5">
        <v>39</v>
      </c>
      <c r="Q61" s="5">
        <v>0</v>
      </c>
      <c r="R61" s="5" t="s">
        <v>98</v>
      </c>
      <c r="S61" s="5">
        <v>266.6860000000006</v>
      </c>
      <c r="T61" s="5">
        <v>14.199999999999704</v>
      </c>
      <c r="U61" s="5">
        <v>51.917999999999687</v>
      </c>
      <c r="V61" s="9">
        <v>3481</v>
      </c>
      <c r="W61" s="9">
        <v>0</v>
      </c>
      <c r="X61" s="9">
        <v>573</v>
      </c>
      <c r="Y61" s="9">
        <v>0</v>
      </c>
      <c r="Z61" s="9">
        <v>70</v>
      </c>
      <c r="AA61" s="9">
        <v>0</v>
      </c>
      <c r="AB61" s="5" t="s">
        <v>98</v>
      </c>
      <c r="AC61" s="5">
        <f t="shared" si="0"/>
        <v>4124</v>
      </c>
      <c r="AD61" s="5"/>
      <c r="AO61" s="76"/>
      <c r="AP61" s="76"/>
    </row>
    <row r="62" spans="1:243" s="81" customFormat="1" ht="12" customHeight="1" x14ac:dyDescent="0.2">
      <c r="A62" s="75">
        <v>37926</v>
      </c>
      <c r="B62" s="56">
        <v>14.2</v>
      </c>
      <c r="C62" s="56">
        <v>-362.15700000000129</v>
      </c>
      <c r="D62" s="56">
        <v>33.551999999999879</v>
      </c>
      <c r="E62" s="56">
        <v>-301.36799999999999</v>
      </c>
      <c r="F62" s="56">
        <v>0</v>
      </c>
      <c r="G62" s="56">
        <v>-776.26599999999996</v>
      </c>
      <c r="H62" s="56">
        <v>675</v>
      </c>
      <c r="I62" s="56">
        <v>7.7410000000000219</v>
      </c>
      <c r="J62" s="56">
        <v>-606.1</v>
      </c>
      <c r="K62" s="56">
        <v>-1315.3980000000015</v>
      </c>
      <c r="L62" s="56">
        <v>-871.00800000000163</v>
      </c>
      <c r="M62" s="56">
        <v>0</v>
      </c>
      <c r="N62" s="56">
        <v>2158.4779999999996</v>
      </c>
      <c r="O62" s="56">
        <v>0</v>
      </c>
      <c r="P62" s="56">
        <v>34</v>
      </c>
      <c r="Q62" s="56">
        <v>0</v>
      </c>
      <c r="R62" s="5" t="s">
        <v>98</v>
      </c>
      <c r="S62" s="56">
        <v>1321.47</v>
      </c>
      <c r="T62" s="5">
        <v>6.0719999999964784</v>
      </c>
      <c r="U62" s="5">
        <v>27.384699999999544</v>
      </c>
      <c r="V62" s="5">
        <v>2623</v>
      </c>
      <c r="W62" s="5">
        <v>0</v>
      </c>
      <c r="X62" s="5">
        <v>2734</v>
      </c>
      <c r="Y62" s="5">
        <v>0</v>
      </c>
      <c r="Z62" s="5">
        <v>104</v>
      </c>
      <c r="AA62" s="5">
        <v>0</v>
      </c>
      <c r="AB62" s="5" t="s">
        <v>98</v>
      </c>
      <c r="AC62" s="5">
        <f t="shared" si="0"/>
        <v>5461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243" s="1" customFormat="1" ht="12" customHeight="1" x14ac:dyDescent="0.2">
      <c r="A63" s="75">
        <v>37956</v>
      </c>
      <c r="B63" s="56">
        <v>6.0719999999987522</v>
      </c>
      <c r="C63" s="56">
        <v>1649.93</v>
      </c>
      <c r="D63" s="56">
        <v>-502.82400000000064</v>
      </c>
      <c r="E63" s="56">
        <v>-305.72300000000001</v>
      </c>
      <c r="F63" s="56">
        <v>0</v>
      </c>
      <c r="G63" s="56">
        <v>-971.38800000000003</v>
      </c>
      <c r="H63" s="56">
        <v>1250</v>
      </c>
      <c r="I63" s="56">
        <v>6.5150000000000707</v>
      </c>
      <c r="J63" s="56">
        <v>-311.73599999999999</v>
      </c>
      <c r="K63" s="56">
        <v>820.84600000000057</v>
      </c>
      <c r="L63" s="56">
        <v>193.3809999999994</v>
      </c>
      <c r="M63" s="56">
        <v>0</v>
      </c>
      <c r="N63" s="56">
        <v>-891.25099999999998</v>
      </c>
      <c r="O63" s="56">
        <v>0</v>
      </c>
      <c r="P63" s="56">
        <v>-104</v>
      </c>
      <c r="Q63" s="56">
        <v>0</v>
      </c>
      <c r="R63" s="5" t="s">
        <v>98</v>
      </c>
      <c r="S63" s="56">
        <v>-801.87000000000057</v>
      </c>
      <c r="T63" s="5">
        <v>18.975999999999999</v>
      </c>
      <c r="U63" s="5">
        <v>21.086193548386465</v>
      </c>
      <c r="V63" s="9">
        <v>2827</v>
      </c>
      <c r="W63" s="5">
        <v>0</v>
      </c>
      <c r="X63" s="5">
        <v>1848</v>
      </c>
      <c r="Y63" s="5">
        <v>0</v>
      </c>
      <c r="Z63" s="5">
        <v>0</v>
      </c>
      <c r="AA63" s="5">
        <v>0</v>
      </c>
      <c r="AB63" s="5" t="s">
        <v>98</v>
      </c>
      <c r="AC63" s="5">
        <f t="shared" si="0"/>
        <v>4675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243" s="1" customFormat="1" ht="12" customHeight="1" x14ac:dyDescent="0.2">
      <c r="A64" s="75">
        <v>37987</v>
      </c>
      <c r="B64" s="56">
        <v>19</v>
      </c>
      <c r="C64" s="56">
        <v>-948</v>
      </c>
      <c r="D64" s="56">
        <v>388</v>
      </c>
      <c r="E64" s="56">
        <v>0</v>
      </c>
      <c r="F64" s="56">
        <v>0</v>
      </c>
      <c r="G64" s="56">
        <v>-777</v>
      </c>
      <c r="H64" s="56">
        <v>675</v>
      </c>
      <c r="I64" s="56">
        <v>4</v>
      </c>
      <c r="J64" s="56">
        <v>123</v>
      </c>
      <c r="K64" s="56">
        <v>-516</v>
      </c>
      <c r="L64" s="56">
        <v>753</v>
      </c>
      <c r="M64" s="56">
        <v>0</v>
      </c>
      <c r="N64" s="56">
        <v>-311</v>
      </c>
      <c r="O64" s="56">
        <v>0</v>
      </c>
      <c r="P64" s="56">
        <v>88</v>
      </c>
      <c r="Q64" s="56">
        <v>0</v>
      </c>
      <c r="R64" s="5" t="s">
        <v>98</v>
      </c>
      <c r="S64" s="56">
        <v>530</v>
      </c>
      <c r="T64" s="5">
        <v>14</v>
      </c>
      <c r="U64" s="5">
        <v>49</v>
      </c>
      <c r="V64" s="5">
        <v>3590</v>
      </c>
      <c r="W64" s="5">
        <v>0</v>
      </c>
      <c r="X64" s="5">
        <v>1538</v>
      </c>
      <c r="Y64" s="5">
        <v>0</v>
      </c>
      <c r="Z64" s="5">
        <v>88</v>
      </c>
      <c r="AA64" s="5">
        <v>0</v>
      </c>
      <c r="AB64" s="5" t="s">
        <v>98</v>
      </c>
      <c r="AC64" s="5">
        <f t="shared" si="0"/>
        <v>5216</v>
      </c>
      <c r="AD64" s="5"/>
    </row>
    <row r="65" spans="1:42" s="82" customFormat="1" ht="12" customHeight="1" x14ac:dyDescent="0.2">
      <c r="A65" s="75">
        <v>38018</v>
      </c>
      <c r="B65" s="3">
        <v>14</v>
      </c>
      <c r="C65" s="3">
        <v>191</v>
      </c>
      <c r="D65" s="56">
        <v>47</v>
      </c>
      <c r="E65" s="3">
        <v>-103</v>
      </c>
      <c r="F65" s="3">
        <v>0</v>
      </c>
      <c r="G65" s="3">
        <v>-776</v>
      </c>
      <c r="H65" s="3">
        <v>675</v>
      </c>
      <c r="I65" s="3">
        <v>4</v>
      </c>
      <c r="J65" s="3">
        <v>-84</v>
      </c>
      <c r="K65" s="3">
        <v>-32</v>
      </c>
      <c r="L65" s="3">
        <v>-679</v>
      </c>
      <c r="M65" s="3">
        <v>0</v>
      </c>
      <c r="N65" s="3">
        <v>818</v>
      </c>
      <c r="O65" s="3">
        <v>0</v>
      </c>
      <c r="P65" s="3">
        <v>-88</v>
      </c>
      <c r="Q65" s="56">
        <v>1</v>
      </c>
      <c r="R65" s="5" t="s">
        <v>98</v>
      </c>
      <c r="S65" s="3">
        <v>52</v>
      </c>
      <c r="T65" s="3">
        <v>20</v>
      </c>
      <c r="U65" s="3">
        <v>126</v>
      </c>
      <c r="V65" s="9">
        <v>2922</v>
      </c>
      <c r="W65" s="9">
        <v>0</v>
      </c>
      <c r="X65" s="9">
        <v>2369</v>
      </c>
      <c r="Y65" s="9">
        <v>0</v>
      </c>
      <c r="Z65" s="9">
        <v>0</v>
      </c>
      <c r="AA65" s="9">
        <v>1</v>
      </c>
      <c r="AB65" s="5" t="s">
        <v>98</v>
      </c>
      <c r="AC65" s="5">
        <f t="shared" si="0"/>
        <v>5292</v>
      </c>
      <c r="AD65" s="5"/>
    </row>
    <row r="66" spans="1:42" s="1" customFormat="1" ht="12" customHeight="1" x14ac:dyDescent="0.2">
      <c r="A66" s="75">
        <v>38047</v>
      </c>
      <c r="B66" s="56">
        <v>20</v>
      </c>
      <c r="C66" s="56">
        <v>-703</v>
      </c>
      <c r="D66" s="56">
        <v>56</v>
      </c>
      <c r="E66" s="56">
        <v>-105</v>
      </c>
      <c r="F66" s="56">
        <v>0</v>
      </c>
      <c r="G66" s="56">
        <v>-972</v>
      </c>
      <c r="H66" s="56">
        <v>1250</v>
      </c>
      <c r="I66" s="56">
        <v>2</v>
      </c>
      <c r="J66" s="56">
        <v>-67</v>
      </c>
      <c r="K66" s="56">
        <v>-518</v>
      </c>
      <c r="L66" s="56">
        <v>-395</v>
      </c>
      <c r="M66" s="56">
        <v>0</v>
      </c>
      <c r="N66" s="56">
        <v>833</v>
      </c>
      <c r="O66" s="56">
        <v>0</v>
      </c>
      <c r="P66" s="56">
        <v>96</v>
      </c>
      <c r="Q66" s="56">
        <v>-1</v>
      </c>
      <c r="R66" s="5" t="s">
        <v>98</v>
      </c>
      <c r="S66" s="56">
        <v>533</v>
      </c>
      <c r="T66" s="56">
        <v>15</v>
      </c>
      <c r="U66" s="56">
        <v>28</v>
      </c>
      <c r="V66" s="56">
        <v>2540</v>
      </c>
      <c r="W66" s="56">
        <v>0</v>
      </c>
      <c r="X66" s="56">
        <v>3213</v>
      </c>
      <c r="Y66" s="56">
        <v>0</v>
      </c>
      <c r="Z66" s="56">
        <v>96</v>
      </c>
      <c r="AA66" s="56">
        <v>0</v>
      </c>
      <c r="AB66" s="5" t="s">
        <v>98</v>
      </c>
      <c r="AC66" s="5">
        <f t="shared" si="0"/>
        <v>5849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1" customFormat="1" ht="12" customHeight="1" x14ac:dyDescent="0.2">
      <c r="A67" s="75">
        <v>38078</v>
      </c>
      <c r="B67" s="56">
        <v>15</v>
      </c>
      <c r="C67" s="56">
        <v>-321</v>
      </c>
      <c r="D67" s="56">
        <v>239</v>
      </c>
      <c r="E67" s="56">
        <v>-100</v>
      </c>
      <c r="F67" s="56">
        <v>2797</v>
      </c>
      <c r="G67" s="56">
        <v>-778</v>
      </c>
      <c r="H67" s="56">
        <v>675</v>
      </c>
      <c r="I67" s="56">
        <v>2</v>
      </c>
      <c r="J67" s="56">
        <v>628</v>
      </c>
      <c r="K67" s="56">
        <v>3157</v>
      </c>
      <c r="L67" s="56">
        <v>-1282</v>
      </c>
      <c r="M67" s="56">
        <v>0</v>
      </c>
      <c r="N67" s="56">
        <v>-1934</v>
      </c>
      <c r="O67" s="56">
        <v>0</v>
      </c>
      <c r="P67" s="56">
        <v>-96</v>
      </c>
      <c r="Q67" s="56">
        <v>156</v>
      </c>
      <c r="R67" s="5" t="s">
        <v>98</v>
      </c>
      <c r="S67" s="56">
        <v>-3155</v>
      </c>
      <c r="T67" s="5">
        <v>1</v>
      </c>
      <c r="U67" s="5">
        <v>107</v>
      </c>
      <c r="V67" s="5">
        <v>1265</v>
      </c>
      <c r="W67" s="5">
        <v>0</v>
      </c>
      <c r="X67" s="5">
        <v>1289</v>
      </c>
      <c r="Y67" s="5">
        <v>0</v>
      </c>
      <c r="Z67" s="5">
        <v>0</v>
      </c>
      <c r="AA67" s="5">
        <v>156</v>
      </c>
      <c r="AB67" s="5" t="s">
        <v>98</v>
      </c>
      <c r="AC67" s="5">
        <f t="shared" si="0"/>
        <v>2710</v>
      </c>
      <c r="AD67" s="5"/>
    </row>
    <row r="68" spans="1:42" s="1" customFormat="1" ht="12" customHeight="1" x14ac:dyDescent="0.2">
      <c r="A68" s="75">
        <v>38108</v>
      </c>
      <c r="B68" s="56">
        <v>1</v>
      </c>
      <c r="C68" s="56">
        <v>1281</v>
      </c>
      <c r="D68" s="56">
        <v>15</v>
      </c>
      <c r="E68" s="56">
        <v>-98</v>
      </c>
      <c r="F68" s="56">
        <v>0</v>
      </c>
      <c r="G68" s="56">
        <v>-776</v>
      </c>
      <c r="H68" s="56">
        <v>675</v>
      </c>
      <c r="I68" s="56">
        <v>9</v>
      </c>
      <c r="J68" s="56">
        <v>-114</v>
      </c>
      <c r="K68" s="56">
        <v>995</v>
      </c>
      <c r="L68" s="56">
        <v>80</v>
      </c>
      <c r="M68" s="56">
        <v>0</v>
      </c>
      <c r="N68" s="56">
        <v>-1152</v>
      </c>
      <c r="O68" s="56">
        <v>0</v>
      </c>
      <c r="P68" s="56">
        <v>234</v>
      </c>
      <c r="Q68" s="56">
        <v>-156</v>
      </c>
      <c r="R68" s="5" t="s">
        <v>98</v>
      </c>
      <c r="S68" s="56">
        <v>-993</v>
      </c>
      <c r="T68" s="5">
        <v>2</v>
      </c>
      <c r="U68" s="5">
        <v>44</v>
      </c>
      <c r="V68" s="5">
        <v>1405</v>
      </c>
      <c r="W68" s="5">
        <v>0</v>
      </c>
      <c r="X68" s="5">
        <v>146</v>
      </c>
      <c r="Y68" s="5">
        <v>0</v>
      </c>
      <c r="Z68" s="5">
        <v>234</v>
      </c>
      <c r="AA68" s="5">
        <v>0</v>
      </c>
      <c r="AB68" s="5" t="s">
        <v>98</v>
      </c>
      <c r="AC68" s="5">
        <f t="shared" si="0"/>
        <v>1785</v>
      </c>
      <c r="AD68" s="5"/>
      <c r="AF68" s="5"/>
      <c r="AG68" s="5"/>
      <c r="AH68" s="5"/>
      <c r="AP68" s="5"/>
    </row>
    <row r="69" spans="1:42" s="1" customFormat="1" ht="12" customHeight="1" x14ac:dyDescent="0.2">
      <c r="A69" s="75">
        <v>38139</v>
      </c>
      <c r="B69" s="56">
        <v>2</v>
      </c>
      <c r="C69" s="56">
        <v>574</v>
      </c>
      <c r="D69" s="56">
        <v>23</v>
      </c>
      <c r="E69" s="56">
        <v>-98</v>
      </c>
      <c r="F69" s="56">
        <v>0</v>
      </c>
      <c r="G69" s="56">
        <v>-969</v>
      </c>
      <c r="H69" s="56">
        <v>1375</v>
      </c>
      <c r="I69" s="56">
        <v>8</v>
      </c>
      <c r="J69" s="56">
        <v>-360</v>
      </c>
      <c r="K69" s="56">
        <v>555</v>
      </c>
      <c r="L69" s="56">
        <v>-398</v>
      </c>
      <c r="M69" s="56">
        <v>0</v>
      </c>
      <c r="N69" s="56">
        <v>-149</v>
      </c>
      <c r="O69" s="56">
        <v>-200</v>
      </c>
      <c r="P69" s="56">
        <v>-231</v>
      </c>
      <c r="Q69" s="56">
        <v>494</v>
      </c>
      <c r="R69" s="5" t="s">
        <v>98</v>
      </c>
      <c r="S69" s="56">
        <v>-484</v>
      </c>
      <c r="T69" s="56">
        <v>71</v>
      </c>
      <c r="U69" s="56">
        <v>57</v>
      </c>
      <c r="V69" s="56">
        <v>957</v>
      </c>
      <c r="W69" s="56">
        <v>0</v>
      </c>
      <c r="X69" s="56">
        <v>0</v>
      </c>
      <c r="Y69" s="56">
        <v>-200</v>
      </c>
      <c r="Z69" s="5">
        <v>3</v>
      </c>
      <c r="AA69" s="5">
        <v>494</v>
      </c>
      <c r="AB69" s="5" t="s">
        <v>98</v>
      </c>
      <c r="AC69" s="5">
        <f t="shared" si="0"/>
        <v>1254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42" s="1" customFormat="1" ht="12" customHeight="1" x14ac:dyDescent="0.2">
      <c r="A70" s="75">
        <v>38169</v>
      </c>
      <c r="B70" s="56">
        <v>71</v>
      </c>
      <c r="C70" s="56">
        <v>-518</v>
      </c>
      <c r="D70" s="56">
        <v>13</v>
      </c>
      <c r="E70" s="56">
        <v>-150</v>
      </c>
      <c r="F70" s="56">
        <v>0</v>
      </c>
      <c r="G70" s="56">
        <v>-775</v>
      </c>
      <c r="H70" s="56">
        <v>675</v>
      </c>
      <c r="I70" s="56">
        <v>8</v>
      </c>
      <c r="J70" s="56">
        <v>-308</v>
      </c>
      <c r="K70" s="56">
        <v>-984</v>
      </c>
      <c r="L70" s="56">
        <v>338</v>
      </c>
      <c r="M70" s="56">
        <v>0</v>
      </c>
      <c r="N70" s="56">
        <v>916</v>
      </c>
      <c r="O70" s="56">
        <v>200</v>
      </c>
      <c r="P70" s="56">
        <v>26</v>
      </c>
      <c r="Q70" s="56">
        <v>-494</v>
      </c>
      <c r="R70" s="5" t="s">
        <v>98</v>
      </c>
      <c r="S70" s="56">
        <v>986</v>
      </c>
      <c r="T70" s="56">
        <v>2</v>
      </c>
      <c r="U70" s="56">
        <v>40</v>
      </c>
      <c r="V70" s="56">
        <v>1300</v>
      </c>
      <c r="W70" s="56">
        <v>0</v>
      </c>
      <c r="X70" s="56">
        <v>917</v>
      </c>
      <c r="Y70" s="56">
        <v>0</v>
      </c>
      <c r="Z70" s="56">
        <v>29</v>
      </c>
      <c r="AA70" s="56">
        <v>0</v>
      </c>
      <c r="AB70" s="5" t="s">
        <v>98</v>
      </c>
      <c r="AC70" s="5">
        <f t="shared" si="0"/>
        <v>2246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1" customFormat="1" ht="12" customHeight="1" x14ac:dyDescent="0.2">
      <c r="A71" s="75">
        <v>38200</v>
      </c>
      <c r="B71" s="56">
        <v>2</v>
      </c>
      <c r="C71" s="56">
        <v>170</v>
      </c>
      <c r="D71" s="56">
        <v>-2</v>
      </c>
      <c r="E71" s="56">
        <v>-200</v>
      </c>
      <c r="F71" s="56">
        <v>0</v>
      </c>
      <c r="G71" s="56">
        <v>-773</v>
      </c>
      <c r="H71" s="56">
        <v>675</v>
      </c>
      <c r="I71" s="56">
        <v>6</v>
      </c>
      <c r="J71" s="56">
        <v>111</v>
      </c>
      <c r="K71" s="56">
        <v>-12</v>
      </c>
      <c r="L71" s="56">
        <v>81</v>
      </c>
      <c r="M71" s="56">
        <v>0</v>
      </c>
      <c r="N71" s="56">
        <v>-130</v>
      </c>
      <c r="O71" s="56">
        <v>0</v>
      </c>
      <c r="P71" s="56">
        <v>72</v>
      </c>
      <c r="Q71" s="56">
        <v>0</v>
      </c>
      <c r="R71" s="5" t="s">
        <v>98</v>
      </c>
      <c r="S71" s="56">
        <v>23</v>
      </c>
      <c r="T71" s="5">
        <v>11</v>
      </c>
      <c r="U71" s="5">
        <v>68</v>
      </c>
      <c r="V71" s="5">
        <v>1385</v>
      </c>
      <c r="W71" s="5">
        <v>0</v>
      </c>
      <c r="X71" s="5">
        <v>791</v>
      </c>
      <c r="Y71" s="5">
        <v>0</v>
      </c>
      <c r="Z71" s="5">
        <v>101</v>
      </c>
      <c r="AA71" s="5">
        <v>0</v>
      </c>
      <c r="AB71" s="5" t="s">
        <v>98</v>
      </c>
      <c r="AC71" s="5">
        <f t="shared" si="0"/>
        <v>2277</v>
      </c>
      <c r="AD71" s="5"/>
    </row>
    <row r="72" spans="1:42" s="1" customFormat="1" ht="12" customHeight="1" x14ac:dyDescent="0.2">
      <c r="A72" s="75">
        <v>38231</v>
      </c>
      <c r="B72" s="56">
        <v>11</v>
      </c>
      <c r="C72" s="56">
        <v>119</v>
      </c>
      <c r="D72" s="56">
        <v>-33</v>
      </c>
      <c r="E72" s="56">
        <v>-202</v>
      </c>
      <c r="F72" s="56">
        <v>0</v>
      </c>
      <c r="G72" s="56">
        <v>-967</v>
      </c>
      <c r="H72" s="56">
        <v>1250</v>
      </c>
      <c r="I72" s="56">
        <v>6</v>
      </c>
      <c r="J72" s="56">
        <v>-17</v>
      </c>
      <c r="K72" s="56">
        <v>166</v>
      </c>
      <c r="L72" s="56">
        <v>-418</v>
      </c>
      <c r="M72" s="56">
        <v>0</v>
      </c>
      <c r="N72" s="56">
        <v>259</v>
      </c>
      <c r="O72" s="56">
        <v>0</v>
      </c>
      <c r="P72" s="56">
        <v>-6</v>
      </c>
      <c r="Q72" s="56">
        <v>0</v>
      </c>
      <c r="R72" s="5" t="s">
        <v>98</v>
      </c>
      <c r="S72" s="56">
        <v>-165</v>
      </c>
      <c r="T72" s="5">
        <v>1</v>
      </c>
      <c r="U72" s="5">
        <v>55</v>
      </c>
      <c r="V72" s="5">
        <v>973</v>
      </c>
      <c r="W72" s="5">
        <v>0</v>
      </c>
      <c r="X72" s="5">
        <v>1051</v>
      </c>
      <c r="Y72" s="5">
        <v>0</v>
      </c>
      <c r="Z72" s="5">
        <v>95</v>
      </c>
      <c r="AA72" s="5">
        <v>0</v>
      </c>
      <c r="AB72" s="5" t="s">
        <v>98</v>
      </c>
      <c r="AC72" s="5">
        <f t="shared" ref="AC72:AC111" si="1">SUM(V72:AB72)</f>
        <v>2119</v>
      </c>
      <c r="AD72" s="5"/>
    </row>
    <row r="73" spans="1:42" s="1" customFormat="1" ht="12" customHeight="1" x14ac:dyDescent="0.2">
      <c r="A73" s="75">
        <v>38261</v>
      </c>
      <c r="B73" s="56">
        <v>1</v>
      </c>
      <c r="C73" s="56">
        <v>-458</v>
      </c>
      <c r="D73" s="56">
        <v>-73</v>
      </c>
      <c r="E73" s="56">
        <v>-201</v>
      </c>
      <c r="F73" s="56">
        <v>0</v>
      </c>
      <c r="G73" s="56">
        <v>-774</v>
      </c>
      <c r="H73" s="56">
        <v>675</v>
      </c>
      <c r="I73" s="56">
        <v>3</v>
      </c>
      <c r="J73" s="56">
        <v>771</v>
      </c>
      <c r="K73" s="56">
        <v>-56</v>
      </c>
      <c r="L73" s="56">
        <v>64</v>
      </c>
      <c r="M73" s="56">
        <v>0</v>
      </c>
      <c r="N73" s="56">
        <v>-72</v>
      </c>
      <c r="O73" s="56">
        <v>0</v>
      </c>
      <c r="P73" s="56">
        <v>66</v>
      </c>
      <c r="Q73" s="56">
        <v>0</v>
      </c>
      <c r="R73" s="5" t="s">
        <v>98</v>
      </c>
      <c r="S73" s="56">
        <v>57</v>
      </c>
      <c r="T73" s="5">
        <v>2</v>
      </c>
      <c r="U73" s="5">
        <v>99</v>
      </c>
      <c r="V73" s="5">
        <v>1040</v>
      </c>
      <c r="W73" s="5">
        <v>0</v>
      </c>
      <c r="X73" s="5">
        <v>982</v>
      </c>
      <c r="Y73" s="5">
        <v>0</v>
      </c>
      <c r="Z73" s="5">
        <v>161</v>
      </c>
      <c r="AA73" s="5">
        <v>0</v>
      </c>
      <c r="AB73" s="5" t="s">
        <v>98</v>
      </c>
      <c r="AC73" s="5">
        <f t="shared" si="1"/>
        <v>2183</v>
      </c>
      <c r="AD73" s="5"/>
    </row>
    <row r="74" spans="1:42" s="1" customFormat="1" ht="12" customHeight="1" x14ac:dyDescent="0.2">
      <c r="A74" s="75">
        <v>38292</v>
      </c>
      <c r="B74" s="56">
        <v>2</v>
      </c>
      <c r="C74" s="56">
        <v>-689</v>
      </c>
      <c r="D74" s="56">
        <v>6</v>
      </c>
      <c r="E74" s="56">
        <v>-202</v>
      </c>
      <c r="F74" s="56">
        <v>0</v>
      </c>
      <c r="G74" s="56">
        <v>-773</v>
      </c>
      <c r="H74" s="56">
        <v>600</v>
      </c>
      <c r="I74" s="56">
        <v>6</v>
      </c>
      <c r="J74" s="56">
        <v>575</v>
      </c>
      <c r="K74" s="56">
        <v>-477</v>
      </c>
      <c r="L74" s="56">
        <v>15</v>
      </c>
      <c r="M74" s="56">
        <v>0</v>
      </c>
      <c r="N74" s="56">
        <v>607</v>
      </c>
      <c r="O74" s="56">
        <v>0</v>
      </c>
      <c r="P74" s="56">
        <v>-143</v>
      </c>
      <c r="Q74" s="56">
        <v>0</v>
      </c>
      <c r="R74" s="5" t="s">
        <v>98</v>
      </c>
      <c r="S74" s="56">
        <v>478</v>
      </c>
      <c r="T74" s="5">
        <v>2</v>
      </c>
      <c r="U74" s="5">
        <v>18</v>
      </c>
      <c r="V74" s="5">
        <v>1060</v>
      </c>
      <c r="W74" s="5">
        <v>0</v>
      </c>
      <c r="X74" s="5">
        <v>1590</v>
      </c>
      <c r="Y74" s="5">
        <v>0</v>
      </c>
      <c r="Z74" s="5">
        <v>18</v>
      </c>
      <c r="AA74" s="5">
        <v>0</v>
      </c>
      <c r="AB74" s="5" t="s">
        <v>98</v>
      </c>
      <c r="AC74" s="5">
        <f t="shared" si="1"/>
        <v>2668</v>
      </c>
      <c r="AD74" s="5"/>
    </row>
    <row r="75" spans="1:42" s="1" customFormat="1" ht="12" customHeight="1" x14ac:dyDescent="0.2">
      <c r="A75" s="75">
        <v>38322</v>
      </c>
      <c r="B75" s="56">
        <v>2</v>
      </c>
      <c r="C75" s="56">
        <v>1153</v>
      </c>
      <c r="D75" s="56">
        <v>-544</v>
      </c>
      <c r="E75" s="56">
        <v>-204</v>
      </c>
      <c r="F75" s="56">
        <v>0</v>
      </c>
      <c r="G75" s="56">
        <v>-967</v>
      </c>
      <c r="H75" s="56">
        <v>1325</v>
      </c>
      <c r="I75" s="56">
        <v>2</v>
      </c>
      <c r="J75" s="56">
        <v>-105</v>
      </c>
      <c r="K75" s="56">
        <v>662</v>
      </c>
      <c r="L75" s="56">
        <v>-419</v>
      </c>
      <c r="M75" s="56">
        <v>0</v>
      </c>
      <c r="N75" s="56">
        <v>-250</v>
      </c>
      <c r="O75" s="56">
        <v>0</v>
      </c>
      <c r="P75" s="56">
        <v>85</v>
      </c>
      <c r="Q75" s="56">
        <v>0</v>
      </c>
      <c r="R75" s="5" t="s">
        <v>98</v>
      </c>
      <c r="S75" s="56">
        <v>-584</v>
      </c>
      <c r="T75" s="5">
        <v>78</v>
      </c>
      <c r="U75" s="5">
        <v>79</v>
      </c>
      <c r="V75" s="5">
        <v>645</v>
      </c>
      <c r="W75" s="5">
        <v>0</v>
      </c>
      <c r="X75" s="5">
        <v>1342</v>
      </c>
      <c r="Y75" s="5">
        <v>0</v>
      </c>
      <c r="Z75" s="5">
        <v>103</v>
      </c>
      <c r="AA75" s="5">
        <v>0</v>
      </c>
      <c r="AB75" s="5" t="s">
        <v>98</v>
      </c>
      <c r="AC75" s="5">
        <f t="shared" si="1"/>
        <v>2090</v>
      </c>
      <c r="AD75" s="5"/>
    </row>
    <row r="76" spans="1:42" s="1" customFormat="1" ht="12" customHeight="1" x14ac:dyDescent="0.2">
      <c r="A76" s="75">
        <v>38353</v>
      </c>
      <c r="B76" s="56">
        <v>78</v>
      </c>
      <c r="C76" s="56">
        <v>-1849</v>
      </c>
      <c r="D76" s="56">
        <v>426</v>
      </c>
      <c r="E76" s="56">
        <v>0</v>
      </c>
      <c r="F76" s="56">
        <v>0</v>
      </c>
      <c r="G76" s="56">
        <v>-774</v>
      </c>
      <c r="H76" s="56">
        <v>670</v>
      </c>
      <c r="I76" s="56">
        <v>0</v>
      </c>
      <c r="J76" s="56">
        <v>321</v>
      </c>
      <c r="K76" s="56">
        <v>-1127</v>
      </c>
      <c r="L76" s="56">
        <v>696</v>
      </c>
      <c r="M76" s="56">
        <v>0</v>
      </c>
      <c r="N76" s="56">
        <v>786</v>
      </c>
      <c r="O76" s="56">
        <v>0</v>
      </c>
      <c r="P76" s="56">
        <v>-103</v>
      </c>
      <c r="Q76" s="56">
        <v>0</v>
      </c>
      <c r="R76" s="5" t="s">
        <v>98</v>
      </c>
      <c r="S76" s="56">
        <v>1379</v>
      </c>
      <c r="T76" s="5">
        <v>252</v>
      </c>
      <c r="U76" s="5">
        <v>81</v>
      </c>
      <c r="V76" s="5">
        <v>1345</v>
      </c>
      <c r="W76" s="5">
        <v>0</v>
      </c>
      <c r="X76" s="5">
        <v>2135</v>
      </c>
      <c r="Y76" s="5">
        <v>0</v>
      </c>
      <c r="Z76" s="5">
        <v>0</v>
      </c>
      <c r="AA76" s="5">
        <v>0</v>
      </c>
      <c r="AB76" s="5" t="s">
        <v>98</v>
      </c>
      <c r="AC76" s="5">
        <f t="shared" si="1"/>
        <v>3480</v>
      </c>
      <c r="AD76" s="5"/>
    </row>
    <row r="77" spans="1:42" s="1" customFormat="1" ht="12" customHeight="1" x14ac:dyDescent="0.2">
      <c r="A77" s="75">
        <v>38384</v>
      </c>
      <c r="B77" s="56">
        <v>252.16880000000026</v>
      </c>
      <c r="C77" s="56">
        <v>262.82799999999941</v>
      </c>
      <c r="D77" s="56">
        <v>36.203999999999688</v>
      </c>
      <c r="E77" s="56">
        <v>-203.29400000000001</v>
      </c>
      <c r="F77" s="56">
        <v>2650</v>
      </c>
      <c r="G77" s="56">
        <v>-772.89600000000007</v>
      </c>
      <c r="H77" s="56">
        <v>670</v>
      </c>
      <c r="I77" s="56">
        <v>0</v>
      </c>
      <c r="J77" s="56">
        <v>-107.84099999999995</v>
      </c>
      <c r="K77" s="56">
        <v>2787.1697999999992</v>
      </c>
      <c r="L77" s="5">
        <v>-727.57200000000012</v>
      </c>
      <c r="M77" s="5">
        <v>0.125</v>
      </c>
      <c r="N77" s="5">
        <v>-2152.299</v>
      </c>
      <c r="O77" s="5">
        <v>-32</v>
      </c>
      <c r="P77" s="5">
        <v>125.96</v>
      </c>
      <c r="Q77" s="5">
        <v>87.3</v>
      </c>
      <c r="R77" s="5" t="s">
        <v>98</v>
      </c>
      <c r="S77" s="5">
        <v>-2698.4859999999999</v>
      </c>
      <c r="T77" s="5">
        <v>88.683799999999337</v>
      </c>
      <c r="U77" s="5">
        <v>85.972157142857114</v>
      </c>
      <c r="V77" s="9">
        <v>620</v>
      </c>
      <c r="W77" s="9">
        <v>0</v>
      </c>
      <c r="X77" s="9">
        <v>0</v>
      </c>
      <c r="Y77" s="9">
        <v>-32</v>
      </c>
      <c r="Z77" s="9">
        <v>126</v>
      </c>
      <c r="AA77" s="9">
        <v>87</v>
      </c>
      <c r="AB77" s="5" t="s">
        <v>98</v>
      </c>
      <c r="AC77" s="5">
        <f t="shared" si="1"/>
        <v>801</v>
      </c>
      <c r="AD77" s="5"/>
    </row>
    <row r="78" spans="1:42" s="1" customFormat="1" ht="12" customHeight="1" x14ac:dyDescent="0.2">
      <c r="A78" s="75">
        <v>38412</v>
      </c>
      <c r="B78" s="56">
        <v>89</v>
      </c>
      <c r="C78" s="56">
        <v>-854</v>
      </c>
      <c r="D78" s="56">
        <v>-139</v>
      </c>
      <c r="E78" s="56">
        <v>-200</v>
      </c>
      <c r="F78" s="56">
        <v>0</v>
      </c>
      <c r="G78" s="56">
        <v>-966</v>
      </c>
      <c r="H78" s="56">
        <v>1244</v>
      </c>
      <c r="I78" s="56">
        <v>0</v>
      </c>
      <c r="J78" s="56">
        <v>170</v>
      </c>
      <c r="K78" s="56">
        <v>-656</v>
      </c>
      <c r="L78" s="5">
        <v>123</v>
      </c>
      <c r="M78" s="5">
        <v>0</v>
      </c>
      <c r="N78" s="5">
        <v>586</v>
      </c>
      <c r="O78" s="5">
        <v>32</v>
      </c>
      <c r="P78" s="5">
        <v>9</v>
      </c>
      <c r="Q78" s="5">
        <v>-87</v>
      </c>
      <c r="R78" s="5" t="s">
        <v>98</v>
      </c>
      <c r="S78" s="5">
        <v>663</v>
      </c>
      <c r="T78" s="5">
        <v>7</v>
      </c>
      <c r="U78" s="9">
        <v>62</v>
      </c>
      <c r="V78" s="9">
        <v>745</v>
      </c>
      <c r="W78" s="9">
        <v>0</v>
      </c>
      <c r="X78" s="9">
        <v>587</v>
      </c>
      <c r="Y78" s="9">
        <v>0</v>
      </c>
      <c r="Z78" s="9">
        <v>135</v>
      </c>
      <c r="AA78" s="9">
        <v>0</v>
      </c>
      <c r="AB78" s="5" t="s">
        <v>98</v>
      </c>
      <c r="AC78" s="5">
        <f t="shared" si="1"/>
        <v>1467</v>
      </c>
      <c r="AD78" s="5"/>
    </row>
    <row r="79" spans="1:42" s="80" customFormat="1" ht="12" customHeight="1" x14ac:dyDescent="0.2">
      <c r="A79" s="75">
        <v>38443</v>
      </c>
      <c r="B79" s="56">
        <v>6</v>
      </c>
      <c r="C79" s="56">
        <v>-1063</v>
      </c>
      <c r="D79" s="56">
        <v>112</v>
      </c>
      <c r="E79" s="56">
        <v>-205</v>
      </c>
      <c r="F79" s="56">
        <v>0</v>
      </c>
      <c r="G79" s="56">
        <v>-773</v>
      </c>
      <c r="H79" s="56">
        <v>675</v>
      </c>
      <c r="I79" s="56">
        <v>0</v>
      </c>
      <c r="J79" s="56">
        <v>138</v>
      </c>
      <c r="K79" s="56">
        <v>-1110</v>
      </c>
      <c r="L79" s="5">
        <v>-746</v>
      </c>
      <c r="M79" s="5">
        <v>-79</v>
      </c>
      <c r="N79" s="5">
        <v>2038</v>
      </c>
      <c r="O79" s="5">
        <v>0</v>
      </c>
      <c r="P79" s="5">
        <v>-102</v>
      </c>
      <c r="Q79" s="5">
        <v>0</v>
      </c>
      <c r="R79" s="5" t="s">
        <v>98</v>
      </c>
      <c r="S79" s="5">
        <v>1111</v>
      </c>
      <c r="T79" s="5">
        <v>1</v>
      </c>
      <c r="U79" s="9">
        <v>114</v>
      </c>
      <c r="V79" s="9">
        <v>0</v>
      </c>
      <c r="W79" s="9">
        <v>-80</v>
      </c>
      <c r="X79" s="9">
        <v>2626</v>
      </c>
      <c r="Y79" s="9">
        <v>0</v>
      </c>
      <c r="Z79" s="9">
        <v>33</v>
      </c>
      <c r="AA79" s="9">
        <v>0</v>
      </c>
      <c r="AB79" s="5" t="s">
        <v>98</v>
      </c>
      <c r="AC79" s="5">
        <f t="shared" si="1"/>
        <v>2579</v>
      </c>
      <c r="AD79" s="5"/>
    </row>
    <row r="80" spans="1:42" s="1" customFormat="1" ht="12" customHeight="1" x14ac:dyDescent="0.2">
      <c r="A80" s="75">
        <v>38473</v>
      </c>
      <c r="B80" s="56">
        <v>1</v>
      </c>
      <c r="C80" s="56">
        <v>743</v>
      </c>
      <c r="D80" s="56">
        <v>78</v>
      </c>
      <c r="E80" s="56">
        <v>-207</v>
      </c>
      <c r="F80" s="56">
        <v>0</v>
      </c>
      <c r="G80" s="56">
        <v>-772</v>
      </c>
      <c r="H80" s="56">
        <v>670</v>
      </c>
      <c r="I80" s="56">
        <v>0</v>
      </c>
      <c r="J80" s="56">
        <v>662</v>
      </c>
      <c r="K80" s="56">
        <v>1175</v>
      </c>
      <c r="L80" s="5">
        <v>0</v>
      </c>
      <c r="M80" s="5">
        <v>66</v>
      </c>
      <c r="N80" s="5">
        <v>-1210</v>
      </c>
      <c r="O80" s="5">
        <v>0</v>
      </c>
      <c r="P80" s="5">
        <v>-28</v>
      </c>
      <c r="Q80" s="5">
        <v>-2</v>
      </c>
      <c r="R80" s="5" t="s">
        <v>98</v>
      </c>
      <c r="S80" s="5">
        <v>-1174</v>
      </c>
      <c r="T80" s="5">
        <v>1</v>
      </c>
      <c r="U80" s="9">
        <v>78</v>
      </c>
      <c r="V80" s="9">
        <v>0</v>
      </c>
      <c r="W80" s="9">
        <v>-15</v>
      </c>
      <c r="X80" s="9">
        <v>1426</v>
      </c>
      <c r="Y80" s="9">
        <v>0</v>
      </c>
      <c r="Z80" s="9">
        <v>5</v>
      </c>
      <c r="AA80" s="9">
        <v>0</v>
      </c>
      <c r="AB80" s="5" t="s">
        <v>98</v>
      </c>
      <c r="AC80" s="5">
        <f t="shared" si="1"/>
        <v>1416</v>
      </c>
      <c r="AD80" s="5"/>
    </row>
    <row r="81" spans="1:30" s="1" customFormat="1" ht="12" customHeight="1" x14ac:dyDescent="0.2">
      <c r="A81" s="75">
        <v>38504</v>
      </c>
      <c r="B81" s="56">
        <v>2</v>
      </c>
      <c r="C81" s="56">
        <v>-109</v>
      </c>
      <c r="D81" s="56">
        <v>-29</v>
      </c>
      <c r="E81" s="56">
        <v>-205</v>
      </c>
      <c r="F81" s="56">
        <v>0</v>
      </c>
      <c r="G81" s="56">
        <v>-966</v>
      </c>
      <c r="H81" s="56">
        <v>1250</v>
      </c>
      <c r="I81" s="56">
        <v>0</v>
      </c>
      <c r="J81" s="56">
        <v>625</v>
      </c>
      <c r="K81" s="56">
        <v>568</v>
      </c>
      <c r="L81" s="5">
        <v>265</v>
      </c>
      <c r="M81" s="5">
        <v>16</v>
      </c>
      <c r="N81" s="5">
        <v>-788</v>
      </c>
      <c r="O81" s="5">
        <v>0</v>
      </c>
      <c r="P81" s="5">
        <v>-5</v>
      </c>
      <c r="Q81" s="5">
        <v>0</v>
      </c>
      <c r="R81" s="5" t="s">
        <v>98</v>
      </c>
      <c r="S81" s="5">
        <v>-512</v>
      </c>
      <c r="T81" s="5">
        <v>56</v>
      </c>
      <c r="U81" s="9">
        <v>56</v>
      </c>
      <c r="V81" s="9">
        <v>265</v>
      </c>
      <c r="W81" s="9">
        <v>0</v>
      </c>
      <c r="X81" s="9">
        <v>647</v>
      </c>
      <c r="Y81" s="9">
        <v>0</v>
      </c>
      <c r="Z81" s="9">
        <v>0</v>
      </c>
      <c r="AA81" s="9">
        <v>0</v>
      </c>
      <c r="AB81" s="5" t="s">
        <v>98</v>
      </c>
      <c r="AC81" s="5">
        <f t="shared" si="1"/>
        <v>912</v>
      </c>
      <c r="AD81" s="5"/>
    </row>
    <row r="82" spans="1:30" s="1" customFormat="1" ht="12" customHeight="1" x14ac:dyDescent="0.2">
      <c r="A82" s="75">
        <v>38534</v>
      </c>
      <c r="B82" s="56">
        <v>57</v>
      </c>
      <c r="C82" s="56">
        <v>-308</v>
      </c>
      <c r="D82" s="56">
        <v>30</v>
      </c>
      <c r="E82" s="56">
        <v>-203</v>
      </c>
      <c r="F82" s="56">
        <v>0</v>
      </c>
      <c r="G82" s="56">
        <v>-774</v>
      </c>
      <c r="H82" s="56">
        <v>665</v>
      </c>
      <c r="I82" s="5">
        <v>0</v>
      </c>
      <c r="J82" s="5">
        <v>-137</v>
      </c>
      <c r="K82" s="5">
        <v>-670</v>
      </c>
      <c r="L82" s="5">
        <v>-266</v>
      </c>
      <c r="M82" s="5">
        <v>-38</v>
      </c>
      <c r="N82" s="9">
        <v>990</v>
      </c>
      <c r="O82" s="9">
        <v>0</v>
      </c>
      <c r="P82" s="9">
        <v>222</v>
      </c>
      <c r="Q82" s="9">
        <v>0</v>
      </c>
      <c r="R82" s="9">
        <v>0</v>
      </c>
      <c r="S82" s="9">
        <v>908</v>
      </c>
      <c r="T82" s="9">
        <v>238</v>
      </c>
      <c r="U82" s="9">
        <v>149</v>
      </c>
      <c r="V82" s="9">
        <v>0</v>
      </c>
      <c r="W82" s="9">
        <v>-40</v>
      </c>
      <c r="X82" s="9">
        <v>1640</v>
      </c>
      <c r="Y82" s="9">
        <v>0</v>
      </c>
      <c r="Z82" s="9">
        <v>222</v>
      </c>
      <c r="AA82" s="9">
        <v>0</v>
      </c>
      <c r="AB82" s="9">
        <v>0</v>
      </c>
      <c r="AC82" s="5">
        <f t="shared" si="1"/>
        <v>1822</v>
      </c>
      <c r="AD82" s="5"/>
    </row>
    <row r="83" spans="1:30" s="1" customFormat="1" ht="12" customHeight="1" x14ac:dyDescent="0.2">
      <c r="A83" s="75">
        <v>38565</v>
      </c>
      <c r="B83" s="56">
        <v>238</v>
      </c>
      <c r="C83" s="56">
        <v>122</v>
      </c>
      <c r="D83" s="56">
        <v>17</v>
      </c>
      <c r="E83" s="56">
        <v>-205</v>
      </c>
      <c r="F83" s="56">
        <v>0</v>
      </c>
      <c r="G83" s="56">
        <v>-967</v>
      </c>
      <c r="H83" s="56">
        <v>670</v>
      </c>
      <c r="I83" s="56">
        <v>4</v>
      </c>
      <c r="J83" s="56">
        <v>199</v>
      </c>
      <c r="K83" s="5">
        <v>78</v>
      </c>
      <c r="L83" s="5">
        <v>205</v>
      </c>
      <c r="M83" s="5">
        <v>41</v>
      </c>
      <c r="N83" s="5">
        <v>-81</v>
      </c>
      <c r="O83" s="5">
        <v>0</v>
      </c>
      <c r="P83" s="5">
        <v>-173</v>
      </c>
      <c r="Q83" s="5">
        <v>0</v>
      </c>
      <c r="R83" s="5">
        <v>-67</v>
      </c>
      <c r="S83" s="5">
        <v>-75</v>
      </c>
      <c r="T83" s="9">
        <v>3</v>
      </c>
      <c r="U83" s="9">
        <v>116</v>
      </c>
      <c r="V83" s="9">
        <v>205</v>
      </c>
      <c r="W83" s="9">
        <v>0</v>
      </c>
      <c r="X83" s="9">
        <v>1565</v>
      </c>
      <c r="Y83" s="9">
        <v>0</v>
      </c>
      <c r="Z83" s="9">
        <v>49</v>
      </c>
      <c r="AA83" s="9">
        <v>0</v>
      </c>
      <c r="AB83" s="9">
        <v>-68</v>
      </c>
      <c r="AC83" s="5">
        <f t="shared" si="1"/>
        <v>1751</v>
      </c>
      <c r="AD83" s="5"/>
    </row>
    <row r="84" spans="1:30" s="1" customFormat="1" ht="12" customHeight="1" x14ac:dyDescent="0.2">
      <c r="A84" s="75">
        <v>38596</v>
      </c>
      <c r="B84" s="56">
        <v>2</v>
      </c>
      <c r="C84" s="56">
        <v>10</v>
      </c>
      <c r="D84" s="56">
        <v>-53</v>
      </c>
      <c r="E84" s="56">
        <v>-206</v>
      </c>
      <c r="F84" s="56">
        <v>0</v>
      </c>
      <c r="G84" s="56">
        <v>-775</v>
      </c>
      <c r="H84" s="56">
        <v>1325</v>
      </c>
      <c r="I84" s="56">
        <v>0</v>
      </c>
      <c r="J84" s="56">
        <v>299</v>
      </c>
      <c r="K84" s="56">
        <v>602</v>
      </c>
      <c r="L84" s="56">
        <v>125</v>
      </c>
      <c r="M84" s="5">
        <v>1</v>
      </c>
      <c r="N84" s="5">
        <v>-667</v>
      </c>
      <c r="O84" s="5">
        <v>0</v>
      </c>
      <c r="P84" s="5">
        <v>4</v>
      </c>
      <c r="Q84" s="5">
        <v>0</v>
      </c>
      <c r="R84" s="5">
        <v>67</v>
      </c>
      <c r="S84" s="5">
        <v>-470</v>
      </c>
      <c r="T84" s="5">
        <v>132</v>
      </c>
      <c r="U84" s="5">
        <v>104</v>
      </c>
      <c r="V84" s="9">
        <v>330</v>
      </c>
      <c r="W84" s="9">
        <v>0</v>
      </c>
      <c r="X84" s="9">
        <v>903</v>
      </c>
      <c r="Y84" s="9">
        <v>0</v>
      </c>
      <c r="Z84" s="9">
        <v>53</v>
      </c>
      <c r="AA84" s="9">
        <v>0</v>
      </c>
      <c r="AB84" s="9">
        <v>0</v>
      </c>
      <c r="AC84" s="5">
        <f t="shared" si="1"/>
        <v>1286</v>
      </c>
      <c r="AD84" s="5"/>
    </row>
    <row r="85" spans="1:30" s="1" customFormat="1" ht="12" customHeight="1" x14ac:dyDescent="0.2">
      <c r="A85" s="75">
        <v>38626</v>
      </c>
      <c r="B85" s="56">
        <v>132</v>
      </c>
      <c r="C85" s="56">
        <v>-311</v>
      </c>
      <c r="D85" s="56">
        <v>-129</v>
      </c>
      <c r="E85" s="56">
        <v>-205</v>
      </c>
      <c r="F85" s="56">
        <v>0</v>
      </c>
      <c r="G85" s="56">
        <v>-775</v>
      </c>
      <c r="H85" s="56">
        <v>600</v>
      </c>
      <c r="I85" s="56">
        <v>0</v>
      </c>
      <c r="J85" s="56">
        <v>162</v>
      </c>
      <c r="K85" s="56">
        <v>-526</v>
      </c>
      <c r="L85" s="56">
        <v>-330</v>
      </c>
      <c r="M85" s="56">
        <v>-173</v>
      </c>
      <c r="N85" s="56">
        <v>748</v>
      </c>
      <c r="O85" s="56">
        <v>0</v>
      </c>
      <c r="P85" s="56">
        <v>197</v>
      </c>
      <c r="Q85" s="56">
        <v>691</v>
      </c>
      <c r="R85" s="56">
        <v>0</v>
      </c>
      <c r="S85" s="56">
        <v>1133</v>
      </c>
      <c r="T85" s="5">
        <v>607</v>
      </c>
      <c r="U85" s="5">
        <v>316</v>
      </c>
      <c r="V85" s="5">
        <v>121</v>
      </c>
      <c r="W85" s="5">
        <v>-296</v>
      </c>
      <c r="X85" s="5">
        <v>1655</v>
      </c>
      <c r="Y85" s="5">
        <v>0</v>
      </c>
      <c r="Z85" s="5">
        <v>250</v>
      </c>
      <c r="AA85" s="5">
        <v>691</v>
      </c>
      <c r="AB85" s="5">
        <v>0</v>
      </c>
      <c r="AC85" s="5">
        <f t="shared" si="1"/>
        <v>2421</v>
      </c>
      <c r="AD85" s="5"/>
    </row>
    <row r="86" spans="1:30" s="1" customFormat="1" ht="12" customHeight="1" x14ac:dyDescent="0.2">
      <c r="A86" s="75">
        <v>38657</v>
      </c>
      <c r="B86" s="56">
        <v>608</v>
      </c>
      <c r="C86" s="56">
        <v>-1069</v>
      </c>
      <c r="D86" s="56">
        <v>430</v>
      </c>
      <c r="E86" s="56">
        <v>-260</v>
      </c>
      <c r="F86" s="56">
        <v>0</v>
      </c>
      <c r="G86" s="56">
        <v>-958</v>
      </c>
      <c r="H86" s="56">
        <v>675</v>
      </c>
      <c r="I86" s="56">
        <v>0</v>
      </c>
      <c r="J86" s="56">
        <v>205</v>
      </c>
      <c r="K86" s="56">
        <v>-369</v>
      </c>
      <c r="L86" s="56">
        <v>0</v>
      </c>
      <c r="M86" s="5">
        <v>37</v>
      </c>
      <c r="N86" s="5">
        <v>1345</v>
      </c>
      <c r="O86" s="5">
        <v>0</v>
      </c>
      <c r="P86" s="5">
        <v>-23</v>
      </c>
      <c r="Q86" s="5">
        <v>120</v>
      </c>
      <c r="R86" s="5">
        <v>-227</v>
      </c>
      <c r="S86" s="5">
        <v>1252</v>
      </c>
      <c r="T86" s="5">
        <v>883</v>
      </c>
      <c r="U86" s="5">
        <v>185</v>
      </c>
      <c r="V86" s="9">
        <v>174</v>
      </c>
      <c r="W86" s="9">
        <v>-314</v>
      </c>
      <c r="X86" s="9">
        <v>3002</v>
      </c>
      <c r="Y86" s="9">
        <v>0</v>
      </c>
      <c r="Z86" s="9">
        <v>0</v>
      </c>
      <c r="AA86" s="9">
        <v>812</v>
      </c>
      <c r="AB86" s="9">
        <v>0</v>
      </c>
      <c r="AC86" s="5">
        <f t="shared" si="1"/>
        <v>3674</v>
      </c>
      <c r="AD86" s="5"/>
    </row>
    <row r="87" spans="1:30" s="1" customFormat="1" ht="12" customHeight="1" x14ac:dyDescent="0.2">
      <c r="A87" s="75">
        <v>38687</v>
      </c>
      <c r="B87" s="56">
        <v>875</v>
      </c>
      <c r="C87" s="56">
        <v>888</v>
      </c>
      <c r="D87" s="56">
        <v>-576</v>
      </c>
      <c r="E87" s="56">
        <v>-254</v>
      </c>
      <c r="F87" s="56">
        <v>0</v>
      </c>
      <c r="G87" s="56">
        <v>-773</v>
      </c>
      <c r="H87" s="56">
        <v>1325</v>
      </c>
      <c r="I87" s="56">
        <v>0</v>
      </c>
      <c r="J87" s="56">
        <v>106</v>
      </c>
      <c r="K87" s="56">
        <v>1591</v>
      </c>
      <c r="L87" s="56">
        <v>50</v>
      </c>
      <c r="M87" s="5">
        <v>-372</v>
      </c>
      <c r="N87" s="5">
        <v>-443</v>
      </c>
      <c r="O87" s="5">
        <v>0</v>
      </c>
      <c r="P87" s="5">
        <v>235</v>
      </c>
      <c r="Q87" s="5">
        <v>-812</v>
      </c>
      <c r="R87" s="5">
        <v>-2</v>
      </c>
      <c r="S87" s="5">
        <v>-1344</v>
      </c>
      <c r="T87" s="5">
        <v>247</v>
      </c>
      <c r="U87" s="5">
        <v>145</v>
      </c>
      <c r="V87" s="9">
        <v>282</v>
      </c>
      <c r="W87" s="9">
        <v>-747</v>
      </c>
      <c r="X87" s="9">
        <v>2570</v>
      </c>
      <c r="Y87" s="9">
        <v>0</v>
      </c>
      <c r="Z87" s="9">
        <v>235</v>
      </c>
      <c r="AA87" s="9">
        <v>3</v>
      </c>
      <c r="AB87" s="9">
        <v>0</v>
      </c>
      <c r="AC87" s="5">
        <f t="shared" si="1"/>
        <v>2343</v>
      </c>
      <c r="AD87" s="5"/>
    </row>
    <row r="88" spans="1:30" s="1" customFormat="1" ht="12" customHeight="1" x14ac:dyDescent="0.2">
      <c r="A88" s="75">
        <v>38718</v>
      </c>
      <c r="B88" s="56">
        <v>246</v>
      </c>
      <c r="C88" s="56">
        <v>-853</v>
      </c>
      <c r="D88" s="56">
        <v>460</v>
      </c>
      <c r="E88" s="56">
        <v>0</v>
      </c>
      <c r="F88" s="56">
        <v>0</v>
      </c>
      <c r="G88" s="56">
        <v>-774</v>
      </c>
      <c r="H88" s="56">
        <v>675</v>
      </c>
      <c r="I88" s="56">
        <v>0</v>
      </c>
      <c r="J88" s="56">
        <v>-376</v>
      </c>
      <c r="K88" s="56">
        <v>-622</v>
      </c>
      <c r="L88" s="56">
        <v>-50</v>
      </c>
      <c r="M88" s="5">
        <v>132</v>
      </c>
      <c r="N88" s="5">
        <v>676</v>
      </c>
      <c r="O88" s="5">
        <v>0</v>
      </c>
      <c r="P88" s="5">
        <v>365</v>
      </c>
      <c r="Q88" s="5">
        <v>514</v>
      </c>
      <c r="R88" s="5">
        <v>0</v>
      </c>
      <c r="S88" s="5">
        <v>1637</v>
      </c>
      <c r="T88" s="5">
        <v>1015</v>
      </c>
      <c r="U88" s="5">
        <v>187</v>
      </c>
      <c r="V88" s="9">
        <v>143</v>
      </c>
      <c r="W88" s="9">
        <v>-493</v>
      </c>
      <c r="X88" s="9">
        <v>3250</v>
      </c>
      <c r="Y88" s="9">
        <v>0</v>
      </c>
      <c r="Z88" s="9">
        <v>600</v>
      </c>
      <c r="AA88" s="9">
        <v>514</v>
      </c>
      <c r="AB88" s="9">
        <v>0</v>
      </c>
      <c r="AC88" s="5">
        <f t="shared" si="1"/>
        <v>4014</v>
      </c>
      <c r="AD88" s="5"/>
    </row>
    <row r="89" spans="1:30" s="1" customFormat="1" ht="12" customHeight="1" x14ac:dyDescent="0.2">
      <c r="A89" s="75">
        <v>38749</v>
      </c>
      <c r="B89" s="56">
        <v>1007</v>
      </c>
      <c r="C89" s="56">
        <v>-486</v>
      </c>
      <c r="D89" s="56">
        <v>71</v>
      </c>
      <c r="E89" s="56">
        <v>-205</v>
      </c>
      <c r="F89" s="56">
        <v>2574</v>
      </c>
      <c r="G89" s="56">
        <v>-377</v>
      </c>
      <c r="H89" s="56">
        <v>600</v>
      </c>
      <c r="I89" s="56">
        <v>0</v>
      </c>
      <c r="J89" s="56">
        <v>-63</v>
      </c>
      <c r="K89" s="56">
        <v>3121</v>
      </c>
      <c r="L89" s="56">
        <v>0</v>
      </c>
      <c r="M89" s="5">
        <v>27</v>
      </c>
      <c r="N89" s="5">
        <v>293</v>
      </c>
      <c r="O89" s="5">
        <v>-323</v>
      </c>
      <c r="P89" s="5">
        <v>-850</v>
      </c>
      <c r="Q89" s="5">
        <v>0</v>
      </c>
      <c r="R89" s="5">
        <v>0</v>
      </c>
      <c r="S89" s="5">
        <v>-853</v>
      </c>
      <c r="T89" s="5">
        <v>2268</v>
      </c>
      <c r="U89" s="5">
        <v>1532</v>
      </c>
      <c r="V89" s="9">
        <v>91</v>
      </c>
      <c r="W89" s="9">
        <v>-376</v>
      </c>
      <c r="X89" s="9">
        <v>3582</v>
      </c>
      <c r="Y89" s="9">
        <v>-323</v>
      </c>
      <c r="Z89" s="9">
        <v>0</v>
      </c>
      <c r="AA89" s="9">
        <v>0</v>
      </c>
      <c r="AB89" s="9">
        <v>0</v>
      </c>
      <c r="AC89" s="5">
        <f t="shared" si="1"/>
        <v>2974</v>
      </c>
      <c r="AD89" s="5"/>
    </row>
    <row r="90" spans="1:30" s="1" customFormat="1" ht="12" customHeight="1" x14ac:dyDescent="0.2">
      <c r="A90" s="75">
        <v>38777</v>
      </c>
      <c r="B90" s="56">
        <v>2070</v>
      </c>
      <c r="C90" s="56">
        <v>-1134</v>
      </c>
      <c r="D90" s="56">
        <v>-60</v>
      </c>
      <c r="E90" s="56">
        <v>-255</v>
      </c>
      <c r="F90" s="56">
        <v>0</v>
      </c>
      <c r="G90" s="56">
        <v>-915</v>
      </c>
      <c r="H90" s="56">
        <v>1250</v>
      </c>
      <c r="I90" s="56">
        <v>0</v>
      </c>
      <c r="J90" s="56">
        <v>301</v>
      </c>
      <c r="K90" s="56">
        <v>1257</v>
      </c>
      <c r="L90" s="56">
        <v>0</v>
      </c>
      <c r="M90" s="56">
        <v>222</v>
      </c>
      <c r="N90" s="5">
        <v>145</v>
      </c>
      <c r="O90" s="5">
        <v>324</v>
      </c>
      <c r="P90" s="5">
        <v>165</v>
      </c>
      <c r="Q90" s="5">
        <v>0</v>
      </c>
      <c r="R90" s="5">
        <v>0</v>
      </c>
      <c r="S90" s="5">
        <v>856</v>
      </c>
      <c r="T90" s="5">
        <v>2113</v>
      </c>
      <c r="U90" s="5">
        <v>1994</v>
      </c>
      <c r="V90" s="9">
        <v>271</v>
      </c>
      <c r="W90" s="9">
        <v>-336</v>
      </c>
      <c r="X90" s="9">
        <v>3735</v>
      </c>
      <c r="Y90" s="9">
        <v>0</v>
      </c>
      <c r="Z90" s="9">
        <v>165</v>
      </c>
      <c r="AA90" s="9">
        <v>0</v>
      </c>
      <c r="AB90" s="9">
        <v>0</v>
      </c>
      <c r="AC90" s="5">
        <f t="shared" si="1"/>
        <v>3835</v>
      </c>
      <c r="AD90" s="5"/>
    </row>
    <row r="91" spans="1:30" s="1" customFormat="1" ht="12" customHeight="1" x14ac:dyDescent="0.2">
      <c r="A91" s="75">
        <v>38808</v>
      </c>
      <c r="B91" s="56">
        <v>2104</v>
      </c>
      <c r="C91" s="56">
        <v>-879</v>
      </c>
      <c r="D91" s="56">
        <v>-24</v>
      </c>
      <c r="E91" s="56">
        <v>-205</v>
      </c>
      <c r="F91" s="56">
        <v>0</v>
      </c>
      <c r="G91" s="56">
        <v>-738</v>
      </c>
      <c r="H91" s="56">
        <v>675</v>
      </c>
      <c r="I91" s="56">
        <v>0</v>
      </c>
      <c r="J91" s="56">
        <v>143</v>
      </c>
      <c r="K91" s="56">
        <v>1076</v>
      </c>
      <c r="L91" s="56">
        <v>0</v>
      </c>
      <c r="M91" s="56">
        <v>47</v>
      </c>
      <c r="N91" s="5">
        <v>1045</v>
      </c>
      <c r="O91" s="5">
        <v>0</v>
      </c>
      <c r="P91" s="5">
        <v>-165</v>
      </c>
      <c r="Q91" s="5">
        <v>0</v>
      </c>
      <c r="R91" s="5">
        <v>-15</v>
      </c>
      <c r="S91" s="5">
        <v>912</v>
      </c>
      <c r="T91" s="5">
        <v>1988</v>
      </c>
      <c r="U91" s="5">
        <v>2005</v>
      </c>
      <c r="V91" s="9">
        <v>346</v>
      </c>
      <c r="W91" s="9">
        <v>-346</v>
      </c>
      <c r="X91" s="9">
        <v>4798</v>
      </c>
      <c r="Y91" s="9">
        <v>0</v>
      </c>
      <c r="Z91" s="9">
        <v>0</v>
      </c>
      <c r="AA91" s="9">
        <v>0</v>
      </c>
      <c r="AB91" s="9">
        <v>0</v>
      </c>
      <c r="AC91" s="5">
        <f t="shared" si="1"/>
        <v>4798</v>
      </c>
      <c r="AD91" s="5"/>
    </row>
    <row r="92" spans="1:30" s="1" customFormat="1" ht="12" customHeight="1" x14ac:dyDescent="0.2">
      <c r="A92" s="75">
        <v>38838</v>
      </c>
      <c r="B92" s="56">
        <v>1984</v>
      </c>
      <c r="C92" s="56">
        <v>155</v>
      </c>
      <c r="D92" s="56">
        <v>87</v>
      </c>
      <c r="E92" s="56">
        <v>-206</v>
      </c>
      <c r="F92" s="56">
        <v>0</v>
      </c>
      <c r="G92" s="56">
        <v>-978</v>
      </c>
      <c r="H92" s="56">
        <v>712</v>
      </c>
      <c r="I92" s="56">
        <v>0</v>
      </c>
      <c r="J92" s="56">
        <v>85</v>
      </c>
      <c r="K92" s="56">
        <v>1839</v>
      </c>
      <c r="L92" s="56">
        <v>0</v>
      </c>
      <c r="M92" s="56">
        <v>-281</v>
      </c>
      <c r="N92" s="5">
        <v>353</v>
      </c>
      <c r="O92" s="5">
        <v>0</v>
      </c>
      <c r="P92" s="5">
        <v>0</v>
      </c>
      <c r="Q92" s="5">
        <v>0</v>
      </c>
      <c r="R92" s="5">
        <v>15</v>
      </c>
      <c r="S92" s="5">
        <v>87</v>
      </c>
      <c r="T92" s="5">
        <v>1926</v>
      </c>
      <c r="U92" s="5">
        <v>2017</v>
      </c>
      <c r="V92" s="9">
        <v>225</v>
      </c>
      <c r="W92" s="9">
        <v>-530</v>
      </c>
      <c r="X92" s="9">
        <v>5188</v>
      </c>
      <c r="Y92" s="9">
        <v>0</v>
      </c>
      <c r="Z92" s="9">
        <v>0</v>
      </c>
      <c r="AA92" s="9">
        <v>0</v>
      </c>
      <c r="AB92" s="9">
        <v>0</v>
      </c>
      <c r="AC92" s="5">
        <f t="shared" si="1"/>
        <v>4883</v>
      </c>
      <c r="AD92" s="5"/>
    </row>
    <row r="93" spans="1:30" s="1" customFormat="1" ht="12" customHeight="1" x14ac:dyDescent="0.2">
      <c r="A93" s="75">
        <v>38869</v>
      </c>
      <c r="B93" s="56">
        <v>1909</v>
      </c>
      <c r="C93" s="56">
        <v>-44</v>
      </c>
      <c r="D93" s="56">
        <v>76</v>
      </c>
      <c r="E93" s="56">
        <v>-201</v>
      </c>
      <c r="F93" s="56">
        <v>0</v>
      </c>
      <c r="G93" s="56">
        <v>-688</v>
      </c>
      <c r="H93" s="56">
        <v>1377</v>
      </c>
      <c r="I93" s="56">
        <v>0</v>
      </c>
      <c r="J93" s="56">
        <v>-10</v>
      </c>
      <c r="K93" s="56">
        <v>2419</v>
      </c>
      <c r="L93" s="56">
        <v>0</v>
      </c>
      <c r="M93" s="56">
        <v>237</v>
      </c>
      <c r="N93" s="5">
        <v>-665</v>
      </c>
      <c r="O93" s="5">
        <v>0</v>
      </c>
      <c r="P93" s="5">
        <v>0</v>
      </c>
      <c r="Q93" s="5">
        <v>0</v>
      </c>
      <c r="R93" s="5">
        <v>1</v>
      </c>
      <c r="S93" s="5">
        <v>-427</v>
      </c>
      <c r="T93" s="5">
        <v>1992</v>
      </c>
      <c r="U93" s="5">
        <v>2067</v>
      </c>
      <c r="V93" s="9">
        <v>123</v>
      </c>
      <c r="W93" s="9">
        <v>-193</v>
      </c>
      <c r="X93" s="9">
        <v>4554</v>
      </c>
      <c r="Y93" s="9">
        <v>0</v>
      </c>
      <c r="Z93" s="9">
        <v>0</v>
      </c>
      <c r="AA93" s="9">
        <v>0</v>
      </c>
      <c r="AB93" s="9">
        <v>0</v>
      </c>
      <c r="AC93" s="5">
        <f t="shared" si="1"/>
        <v>4484</v>
      </c>
      <c r="AD93" s="5"/>
    </row>
    <row r="94" spans="1:30" s="1" customFormat="1" ht="12" customHeight="1" x14ac:dyDescent="0.2">
      <c r="A94" s="75">
        <v>38899</v>
      </c>
      <c r="B94" s="56">
        <v>1992</v>
      </c>
      <c r="C94" s="56">
        <v>172</v>
      </c>
      <c r="D94" s="56">
        <v>36</v>
      </c>
      <c r="E94" s="56">
        <v>-302</v>
      </c>
      <c r="F94" s="56">
        <v>0</v>
      </c>
      <c r="G94" s="56">
        <v>-377</v>
      </c>
      <c r="H94" s="56">
        <v>770</v>
      </c>
      <c r="I94" s="56">
        <v>0</v>
      </c>
      <c r="J94" s="56">
        <v>-231</v>
      </c>
      <c r="K94" s="56">
        <v>2060</v>
      </c>
      <c r="L94" s="56">
        <v>0</v>
      </c>
      <c r="M94" s="56">
        <v>70</v>
      </c>
      <c r="N94" s="5">
        <v>1738</v>
      </c>
      <c r="O94" s="5">
        <v>0</v>
      </c>
      <c r="P94" s="5">
        <v>0</v>
      </c>
      <c r="Q94" s="5">
        <v>0</v>
      </c>
      <c r="R94" s="5">
        <v>-501</v>
      </c>
      <c r="S94" s="5">
        <v>1307</v>
      </c>
      <c r="T94" s="5">
        <v>3367</v>
      </c>
      <c r="U94" s="5">
        <v>3237</v>
      </c>
      <c r="V94" s="9">
        <v>0</v>
      </c>
      <c r="W94" s="9">
        <v>0</v>
      </c>
      <c r="X94" s="9">
        <v>6291</v>
      </c>
      <c r="Y94" s="9">
        <v>0</v>
      </c>
      <c r="Z94" s="9">
        <v>0</v>
      </c>
      <c r="AA94" s="9">
        <v>0</v>
      </c>
      <c r="AB94" s="9">
        <v>-501</v>
      </c>
      <c r="AC94" s="5">
        <f t="shared" si="1"/>
        <v>5790</v>
      </c>
      <c r="AD94" s="5"/>
    </row>
    <row r="95" spans="1:30" s="1" customFormat="1" ht="12" customHeight="1" x14ac:dyDescent="0.2">
      <c r="A95" s="75">
        <v>38930</v>
      </c>
      <c r="B95" s="56">
        <v>3367</v>
      </c>
      <c r="C95" s="56">
        <v>325</v>
      </c>
      <c r="D95" s="56">
        <v>27</v>
      </c>
      <c r="E95" s="56">
        <v>-202</v>
      </c>
      <c r="F95" s="56">
        <v>0</v>
      </c>
      <c r="G95" s="56">
        <v>-736</v>
      </c>
      <c r="H95" s="56">
        <v>1900</v>
      </c>
      <c r="I95" s="56">
        <v>0</v>
      </c>
      <c r="J95" s="56">
        <v>-565</v>
      </c>
      <c r="K95" s="56">
        <v>4116</v>
      </c>
      <c r="L95" s="56">
        <v>0</v>
      </c>
      <c r="M95" s="56">
        <v>0</v>
      </c>
      <c r="N95" s="5">
        <v>-101</v>
      </c>
      <c r="O95" s="5">
        <v>0</v>
      </c>
      <c r="P95" s="5">
        <v>0</v>
      </c>
      <c r="Q95" s="5">
        <v>0</v>
      </c>
      <c r="R95" s="5">
        <v>335</v>
      </c>
      <c r="S95" s="5">
        <v>234</v>
      </c>
      <c r="T95" s="5">
        <v>4350</v>
      </c>
      <c r="U95" s="5">
        <v>5078</v>
      </c>
      <c r="V95" s="9">
        <v>0</v>
      </c>
      <c r="W95" s="9">
        <v>0</v>
      </c>
      <c r="X95" s="9">
        <v>6209</v>
      </c>
      <c r="Y95" s="9">
        <v>0</v>
      </c>
      <c r="Z95" s="9">
        <v>0</v>
      </c>
      <c r="AA95" s="9">
        <v>0</v>
      </c>
      <c r="AB95" s="9">
        <v>-167</v>
      </c>
      <c r="AC95" s="5">
        <f t="shared" si="1"/>
        <v>6042</v>
      </c>
      <c r="AD95" s="5"/>
    </row>
    <row r="96" spans="1:30" s="1" customFormat="1" ht="12" customHeight="1" x14ac:dyDescent="0.2">
      <c r="A96" s="75">
        <v>38961</v>
      </c>
      <c r="B96" s="56">
        <v>4350</v>
      </c>
      <c r="C96" s="56">
        <v>130</v>
      </c>
      <c r="D96" s="56">
        <v>22</v>
      </c>
      <c r="E96" s="56">
        <v>-205</v>
      </c>
      <c r="F96" s="56">
        <v>0</v>
      </c>
      <c r="G96" s="56">
        <v>-588</v>
      </c>
      <c r="H96" s="56">
        <v>800</v>
      </c>
      <c r="I96" s="56">
        <v>0</v>
      </c>
      <c r="J96" s="56">
        <v>-166</v>
      </c>
      <c r="K96" s="56">
        <v>4343</v>
      </c>
      <c r="L96" s="56">
        <v>0</v>
      </c>
      <c r="M96" s="56">
        <v>0</v>
      </c>
      <c r="N96" s="5">
        <v>935</v>
      </c>
      <c r="O96" s="5">
        <v>0</v>
      </c>
      <c r="P96" s="5">
        <v>0</v>
      </c>
      <c r="Q96" s="5">
        <v>0</v>
      </c>
      <c r="R96" s="5">
        <v>-16</v>
      </c>
      <c r="S96" s="5">
        <v>919</v>
      </c>
      <c r="T96" s="5">
        <v>5262</v>
      </c>
      <c r="U96" s="5">
        <v>5271</v>
      </c>
      <c r="V96" s="9">
        <v>0</v>
      </c>
      <c r="W96" s="9">
        <v>0</v>
      </c>
      <c r="X96" s="9">
        <v>7156</v>
      </c>
      <c r="Y96" s="9">
        <v>0</v>
      </c>
      <c r="Z96" s="9">
        <v>0</v>
      </c>
      <c r="AA96" s="9">
        <v>0</v>
      </c>
      <c r="AB96" s="9">
        <v>-183</v>
      </c>
      <c r="AC96" s="5">
        <f t="shared" si="1"/>
        <v>6973</v>
      </c>
      <c r="AD96" s="5"/>
    </row>
    <row r="97" spans="1:30" s="1" customFormat="1" ht="12" customHeight="1" x14ac:dyDescent="0.2">
      <c r="A97" s="75">
        <v>38991</v>
      </c>
      <c r="B97" s="56">
        <v>5262</v>
      </c>
      <c r="C97" s="56">
        <v>-445</v>
      </c>
      <c r="D97" s="56">
        <v>-97</v>
      </c>
      <c r="E97" s="56">
        <v>-205</v>
      </c>
      <c r="F97" s="56">
        <v>0</v>
      </c>
      <c r="G97" s="56">
        <v>-589</v>
      </c>
      <c r="H97" s="56">
        <v>905</v>
      </c>
      <c r="I97" s="56">
        <v>0</v>
      </c>
      <c r="J97" s="56">
        <v>-324</v>
      </c>
      <c r="K97" s="56">
        <v>4507</v>
      </c>
      <c r="L97" s="56">
        <v>579</v>
      </c>
      <c r="M97" s="56">
        <v>0</v>
      </c>
      <c r="N97" s="5">
        <v>2217</v>
      </c>
      <c r="O97" s="5">
        <v>0</v>
      </c>
      <c r="P97" s="5">
        <v>0</v>
      </c>
      <c r="Q97" s="5">
        <v>0</v>
      </c>
      <c r="R97" s="5">
        <v>-43</v>
      </c>
      <c r="S97" s="5">
        <v>2753</v>
      </c>
      <c r="T97" s="5">
        <v>7260</v>
      </c>
      <c r="U97" s="5">
        <v>6701</v>
      </c>
      <c r="V97" s="9">
        <v>580</v>
      </c>
      <c r="W97" s="9">
        <v>0</v>
      </c>
      <c r="X97" s="9">
        <v>9426</v>
      </c>
      <c r="Y97" s="9">
        <v>0</v>
      </c>
      <c r="Z97" s="9">
        <v>0</v>
      </c>
      <c r="AA97" s="9">
        <v>0</v>
      </c>
      <c r="AB97" s="9">
        <v>-227</v>
      </c>
      <c r="AC97" s="5">
        <f t="shared" si="1"/>
        <v>9779</v>
      </c>
      <c r="AD97" s="5"/>
    </row>
    <row r="98" spans="1:30" s="1" customFormat="1" ht="12" customHeight="1" x14ac:dyDescent="0.2">
      <c r="A98" s="75">
        <v>39022</v>
      </c>
      <c r="B98" s="56">
        <v>7260</v>
      </c>
      <c r="C98" s="56">
        <v>-1136</v>
      </c>
      <c r="D98" s="56">
        <v>-28</v>
      </c>
      <c r="E98" s="56">
        <v>-310</v>
      </c>
      <c r="F98" s="56">
        <v>2777</v>
      </c>
      <c r="G98" s="56">
        <v>-1088</v>
      </c>
      <c r="H98" s="56">
        <v>1292</v>
      </c>
      <c r="I98" s="56">
        <v>48</v>
      </c>
      <c r="J98" s="56">
        <v>64</v>
      </c>
      <c r="K98" s="56">
        <v>8879</v>
      </c>
      <c r="L98" s="56">
        <v>-581</v>
      </c>
      <c r="M98" s="56">
        <v>-31</v>
      </c>
      <c r="N98" s="5">
        <v>-705</v>
      </c>
      <c r="O98" s="5">
        <v>0</v>
      </c>
      <c r="P98" s="5">
        <v>0</v>
      </c>
      <c r="Q98" s="5" t="s">
        <v>98</v>
      </c>
      <c r="R98" s="5">
        <v>-187</v>
      </c>
      <c r="S98" s="5">
        <v>-1504</v>
      </c>
      <c r="T98" s="5">
        <v>7375</v>
      </c>
      <c r="U98" s="5">
        <v>7388</v>
      </c>
      <c r="V98" s="9">
        <v>0</v>
      </c>
      <c r="W98" s="9">
        <v>0</v>
      </c>
      <c r="X98" s="9">
        <v>8777</v>
      </c>
      <c r="Y98" s="9">
        <v>0</v>
      </c>
      <c r="Z98" s="9">
        <v>0</v>
      </c>
      <c r="AA98" s="9" t="s">
        <v>98</v>
      </c>
      <c r="AB98" s="9">
        <v>-448</v>
      </c>
      <c r="AC98" s="5">
        <f t="shared" si="1"/>
        <v>8329</v>
      </c>
      <c r="AD98" s="5"/>
    </row>
    <row r="99" spans="1:30" s="1" customFormat="1" ht="12" customHeight="1" x14ac:dyDescent="0.2">
      <c r="A99" s="75">
        <v>39052</v>
      </c>
      <c r="B99" s="56">
        <v>7375</v>
      </c>
      <c r="C99" s="56">
        <v>1217</v>
      </c>
      <c r="D99" s="56">
        <v>-544</v>
      </c>
      <c r="E99" s="56">
        <v>-204</v>
      </c>
      <c r="F99" s="56">
        <v>0</v>
      </c>
      <c r="G99" s="56">
        <v>-787</v>
      </c>
      <c r="H99" s="56">
        <v>600</v>
      </c>
      <c r="I99" s="56">
        <v>-1</v>
      </c>
      <c r="J99" s="56">
        <v>-118</v>
      </c>
      <c r="K99" s="56">
        <v>7538</v>
      </c>
      <c r="L99" s="56">
        <v>0</v>
      </c>
      <c r="M99" s="56">
        <v>0</v>
      </c>
      <c r="N99" s="5">
        <v>1437</v>
      </c>
      <c r="O99" s="5">
        <v>0</v>
      </c>
      <c r="P99" s="5">
        <v>0</v>
      </c>
      <c r="Q99" s="5" t="s">
        <v>98</v>
      </c>
      <c r="R99" s="5">
        <v>-94</v>
      </c>
      <c r="S99" s="5">
        <v>1343</v>
      </c>
      <c r="T99" s="5">
        <v>8881</v>
      </c>
      <c r="U99" s="5">
        <v>8328</v>
      </c>
      <c r="V99" s="9">
        <v>0</v>
      </c>
      <c r="W99" s="9">
        <v>0</v>
      </c>
      <c r="X99" s="9">
        <v>10247</v>
      </c>
      <c r="Y99" s="9">
        <v>0</v>
      </c>
      <c r="Z99" s="9">
        <v>0</v>
      </c>
      <c r="AA99" s="9" t="s">
        <v>98</v>
      </c>
      <c r="AB99" s="9">
        <v>-541</v>
      </c>
      <c r="AC99" s="5">
        <f t="shared" si="1"/>
        <v>9706</v>
      </c>
      <c r="AD99" s="5"/>
    </row>
    <row r="100" spans="1:30" s="1" customFormat="1" ht="12" customHeight="1" x14ac:dyDescent="0.2">
      <c r="A100" s="75">
        <v>39083</v>
      </c>
      <c r="B100" s="56">
        <v>8881</v>
      </c>
      <c r="C100" s="56">
        <v>-848</v>
      </c>
      <c r="D100" s="56">
        <v>450</v>
      </c>
      <c r="E100" s="56">
        <v>0</v>
      </c>
      <c r="F100" s="56">
        <v>0</v>
      </c>
      <c r="G100" s="56">
        <v>-914</v>
      </c>
      <c r="H100" s="56">
        <v>1450</v>
      </c>
      <c r="I100" s="56">
        <v>10</v>
      </c>
      <c r="J100" s="56">
        <v>-674</v>
      </c>
      <c r="K100" s="56">
        <v>8355</v>
      </c>
      <c r="L100" s="56">
        <v>0</v>
      </c>
      <c r="M100" s="56">
        <v>0</v>
      </c>
      <c r="N100" s="5">
        <v>-247</v>
      </c>
      <c r="O100" s="5">
        <v>0</v>
      </c>
      <c r="P100" s="5">
        <v>0</v>
      </c>
      <c r="Q100" s="5" t="s">
        <v>98</v>
      </c>
      <c r="R100" s="5">
        <v>305</v>
      </c>
      <c r="S100" s="5">
        <v>58</v>
      </c>
      <c r="T100" s="5">
        <v>8413</v>
      </c>
      <c r="U100" s="5">
        <v>8764</v>
      </c>
      <c r="V100" s="9">
        <v>0</v>
      </c>
      <c r="W100" s="9">
        <v>0</v>
      </c>
      <c r="X100" s="9">
        <v>10083</v>
      </c>
      <c r="Y100" s="9">
        <v>0</v>
      </c>
      <c r="Z100" s="9">
        <v>0</v>
      </c>
      <c r="AA100" s="9" t="s">
        <v>98</v>
      </c>
      <c r="AB100" s="9">
        <v>-237</v>
      </c>
      <c r="AC100" s="5">
        <f t="shared" si="1"/>
        <v>9846</v>
      </c>
      <c r="AD100" s="5"/>
    </row>
    <row r="101" spans="1:30" s="1" customFormat="1" ht="12" customHeight="1" x14ac:dyDescent="0.2">
      <c r="A101" s="75">
        <v>39114</v>
      </c>
      <c r="B101" s="56">
        <v>8413</v>
      </c>
      <c r="C101" s="56">
        <v>-613</v>
      </c>
      <c r="D101" s="56">
        <v>44</v>
      </c>
      <c r="E101" s="56">
        <v>-201</v>
      </c>
      <c r="F101" s="56">
        <v>0</v>
      </c>
      <c r="G101" s="56">
        <v>-786</v>
      </c>
      <c r="H101" s="56">
        <v>550</v>
      </c>
      <c r="I101" s="56">
        <v>0</v>
      </c>
      <c r="J101" s="56">
        <v>335</v>
      </c>
      <c r="K101" s="56">
        <v>7742</v>
      </c>
      <c r="L101" s="56">
        <v>0</v>
      </c>
      <c r="M101" s="56">
        <v>0</v>
      </c>
      <c r="N101" s="5">
        <v>234</v>
      </c>
      <c r="O101" s="5">
        <v>0</v>
      </c>
      <c r="P101" s="5">
        <v>0</v>
      </c>
      <c r="Q101" s="5" t="s">
        <v>98</v>
      </c>
      <c r="R101" s="5">
        <v>23</v>
      </c>
      <c r="S101" s="5">
        <v>257</v>
      </c>
      <c r="T101" s="5">
        <v>7999</v>
      </c>
      <c r="U101" s="5">
        <v>8439</v>
      </c>
      <c r="V101" s="9">
        <v>0</v>
      </c>
      <c r="W101" s="9">
        <v>0</v>
      </c>
      <c r="X101" s="9">
        <v>10366</v>
      </c>
      <c r="Y101" s="9">
        <v>0</v>
      </c>
      <c r="Z101" s="9">
        <v>0</v>
      </c>
      <c r="AA101" s="9" t="s">
        <v>98</v>
      </c>
      <c r="AB101" s="9">
        <v>-214</v>
      </c>
      <c r="AC101" s="5">
        <f t="shared" si="1"/>
        <v>10152</v>
      </c>
      <c r="AD101" s="5"/>
    </row>
    <row r="102" spans="1:30" s="1" customFormat="1" ht="12" customHeight="1" x14ac:dyDescent="0.2">
      <c r="A102" s="75">
        <v>39142</v>
      </c>
      <c r="B102" s="56">
        <v>7999</v>
      </c>
      <c r="C102" s="56">
        <v>-785</v>
      </c>
      <c r="D102" s="56">
        <v>-79</v>
      </c>
      <c r="E102" s="56">
        <v>-201</v>
      </c>
      <c r="F102" s="56">
        <v>0</v>
      </c>
      <c r="G102" s="56">
        <v>-629</v>
      </c>
      <c r="H102" s="56">
        <v>1100</v>
      </c>
      <c r="I102" s="56">
        <v>0</v>
      </c>
      <c r="J102" s="56">
        <v>266</v>
      </c>
      <c r="K102" s="56">
        <v>7671</v>
      </c>
      <c r="L102" s="56">
        <v>0</v>
      </c>
      <c r="M102" s="56">
        <v>0</v>
      </c>
      <c r="N102" s="5">
        <v>267</v>
      </c>
      <c r="O102" s="5">
        <v>0</v>
      </c>
      <c r="P102" s="5">
        <v>0</v>
      </c>
      <c r="Q102" s="5" t="s">
        <v>98</v>
      </c>
      <c r="R102" s="5">
        <v>103</v>
      </c>
      <c r="S102" s="5">
        <v>370</v>
      </c>
      <c r="T102" s="5">
        <v>8041</v>
      </c>
      <c r="U102" s="5">
        <v>8323</v>
      </c>
      <c r="V102" s="9">
        <v>0</v>
      </c>
      <c r="W102" s="9">
        <v>0</v>
      </c>
      <c r="X102" s="9">
        <v>10707</v>
      </c>
      <c r="Y102" s="9">
        <v>0</v>
      </c>
      <c r="Z102" s="9">
        <v>0</v>
      </c>
      <c r="AA102" s="9" t="s">
        <v>98</v>
      </c>
      <c r="AB102" s="9">
        <v>-113</v>
      </c>
      <c r="AC102" s="5">
        <f t="shared" si="1"/>
        <v>10594</v>
      </c>
      <c r="AD102" s="5"/>
    </row>
    <row r="103" spans="1:30" s="1" customFormat="1" ht="12" customHeight="1" x14ac:dyDescent="0.2">
      <c r="A103" s="75">
        <v>39173</v>
      </c>
      <c r="B103" s="56">
        <v>8041</v>
      </c>
      <c r="C103" s="56">
        <v>651</v>
      </c>
      <c r="D103" s="56">
        <v>127</v>
      </c>
      <c r="E103" s="56">
        <v>-151</v>
      </c>
      <c r="F103" s="56">
        <v>0</v>
      </c>
      <c r="G103" s="56">
        <v>-785</v>
      </c>
      <c r="H103" s="56">
        <v>530</v>
      </c>
      <c r="I103" s="56">
        <v>0</v>
      </c>
      <c r="J103" s="56">
        <v>231</v>
      </c>
      <c r="K103" s="56">
        <v>8644</v>
      </c>
      <c r="L103" s="56">
        <v>0</v>
      </c>
      <c r="M103" s="56">
        <v>898</v>
      </c>
      <c r="N103" s="5">
        <v>-276</v>
      </c>
      <c r="O103" s="5">
        <v>0</v>
      </c>
      <c r="P103" s="5">
        <v>0</v>
      </c>
      <c r="Q103" s="5" t="s">
        <v>98</v>
      </c>
      <c r="R103" s="5">
        <v>-8</v>
      </c>
      <c r="S103" s="5">
        <v>614</v>
      </c>
      <c r="T103" s="5">
        <v>9258</v>
      </c>
      <c r="U103" s="5">
        <v>8488</v>
      </c>
      <c r="V103" s="9">
        <v>0</v>
      </c>
      <c r="W103" s="9">
        <v>0</v>
      </c>
      <c r="X103" s="9">
        <v>11377</v>
      </c>
      <c r="Y103" s="9">
        <v>0</v>
      </c>
      <c r="Z103" s="9">
        <v>0</v>
      </c>
      <c r="AA103" s="9" t="s">
        <v>98</v>
      </c>
      <c r="AB103" s="9">
        <v>-122</v>
      </c>
      <c r="AC103" s="5">
        <f t="shared" si="1"/>
        <v>11255</v>
      </c>
      <c r="AD103" s="5"/>
    </row>
    <row r="104" spans="1:30" s="1" customFormat="1" ht="12" customHeight="1" x14ac:dyDescent="0.2">
      <c r="A104" s="75">
        <v>39203</v>
      </c>
      <c r="B104" s="56">
        <v>9259</v>
      </c>
      <c r="C104" s="56">
        <v>-1280</v>
      </c>
      <c r="D104" s="56">
        <v>37</v>
      </c>
      <c r="E104" s="56">
        <v>-151</v>
      </c>
      <c r="F104" s="56">
        <v>0</v>
      </c>
      <c r="G104" s="56">
        <v>-685</v>
      </c>
      <c r="H104" s="56">
        <v>1200</v>
      </c>
      <c r="I104" s="56">
        <v>0</v>
      </c>
      <c r="J104" s="56">
        <v>-310</v>
      </c>
      <c r="K104" s="56">
        <v>8070</v>
      </c>
      <c r="L104" s="56">
        <v>0</v>
      </c>
      <c r="M104" s="56">
        <v>0</v>
      </c>
      <c r="N104" s="5">
        <v>138</v>
      </c>
      <c r="O104" s="5">
        <v>0</v>
      </c>
      <c r="P104" s="5">
        <v>0</v>
      </c>
      <c r="Q104" s="5" t="s">
        <v>98</v>
      </c>
      <c r="R104" s="5">
        <v>92</v>
      </c>
      <c r="S104" s="5">
        <v>230</v>
      </c>
      <c r="T104" s="5">
        <v>8300</v>
      </c>
      <c r="U104" s="5">
        <v>8587</v>
      </c>
      <c r="V104" s="9">
        <v>0</v>
      </c>
      <c r="W104" s="9">
        <v>0</v>
      </c>
      <c r="X104" s="9">
        <v>11578</v>
      </c>
      <c r="Y104" s="9">
        <v>0</v>
      </c>
      <c r="Z104" s="9">
        <v>0</v>
      </c>
      <c r="AA104" s="9" t="s">
        <v>98</v>
      </c>
      <c r="AB104" s="9">
        <v>-30</v>
      </c>
      <c r="AC104" s="5">
        <f t="shared" si="1"/>
        <v>11548</v>
      </c>
      <c r="AD104" s="5"/>
    </row>
    <row r="105" spans="1:30" s="80" customFormat="1" ht="12" customHeight="1" x14ac:dyDescent="0.2">
      <c r="A105" s="75">
        <v>39234</v>
      </c>
      <c r="B105" s="56">
        <v>8300</v>
      </c>
      <c r="C105" s="56">
        <v>-279</v>
      </c>
      <c r="D105" s="56">
        <v>93</v>
      </c>
      <c r="E105" s="56">
        <v>-199</v>
      </c>
      <c r="F105" s="56">
        <v>0</v>
      </c>
      <c r="G105" s="56">
        <v>-608</v>
      </c>
      <c r="H105" s="56">
        <v>440</v>
      </c>
      <c r="I105" s="56">
        <v>0</v>
      </c>
      <c r="J105" s="56">
        <v>783</v>
      </c>
      <c r="K105" s="56">
        <v>8530</v>
      </c>
      <c r="L105" s="56">
        <v>0</v>
      </c>
      <c r="M105" s="56">
        <v>0</v>
      </c>
      <c r="N105" s="5">
        <v>-754</v>
      </c>
      <c r="O105" s="5">
        <v>0</v>
      </c>
      <c r="P105" s="5">
        <v>0</v>
      </c>
      <c r="Q105" s="5" t="s">
        <v>98</v>
      </c>
      <c r="R105" s="5">
        <v>-22</v>
      </c>
      <c r="S105" s="5">
        <v>-776</v>
      </c>
      <c r="T105" s="5">
        <v>7754</v>
      </c>
      <c r="U105" s="5">
        <v>8455</v>
      </c>
      <c r="V105" s="9">
        <v>0</v>
      </c>
      <c r="W105" s="9">
        <v>0</v>
      </c>
      <c r="X105" s="9">
        <v>10885</v>
      </c>
      <c r="Y105" s="9">
        <v>0</v>
      </c>
      <c r="Z105" s="9">
        <v>0</v>
      </c>
      <c r="AA105" s="9" t="s">
        <v>98</v>
      </c>
      <c r="AB105" s="9">
        <v>-53</v>
      </c>
      <c r="AC105" s="5">
        <f t="shared" si="1"/>
        <v>10832</v>
      </c>
      <c r="AD105" s="5"/>
    </row>
    <row r="106" spans="1:30" s="1" customFormat="1" ht="12" customHeight="1" x14ac:dyDescent="0.2">
      <c r="A106" s="75">
        <v>39264</v>
      </c>
      <c r="B106" s="5">
        <v>7754</v>
      </c>
      <c r="C106" s="5">
        <v>-76.636720080000444</v>
      </c>
      <c r="D106" s="5">
        <v>37.647816999999961</v>
      </c>
      <c r="E106" s="5">
        <v>-142.22300000000001</v>
      </c>
      <c r="F106" s="5">
        <v>0</v>
      </c>
      <c r="G106" s="5">
        <v>-637.274</v>
      </c>
      <c r="H106" s="5">
        <v>600</v>
      </c>
      <c r="I106" s="5">
        <v>0</v>
      </c>
      <c r="J106" s="5">
        <v>1200.6009999999999</v>
      </c>
      <c r="K106" s="5">
        <v>8736.1150969199989</v>
      </c>
      <c r="L106" s="5">
        <v>0</v>
      </c>
      <c r="M106" s="5">
        <v>0</v>
      </c>
      <c r="N106" s="5">
        <v>-298.93900000000076</v>
      </c>
      <c r="O106" s="5">
        <v>0</v>
      </c>
      <c r="P106" s="5">
        <v>0</v>
      </c>
      <c r="Q106" s="5" t="s">
        <v>98</v>
      </c>
      <c r="R106" s="5">
        <v>-34.743999999999936</v>
      </c>
      <c r="S106" s="5">
        <v>-333.68300000000067</v>
      </c>
      <c r="T106" s="5">
        <v>8402.432096919998</v>
      </c>
      <c r="U106" s="5">
        <v>8373.47969663613</v>
      </c>
      <c r="V106" s="5">
        <v>0</v>
      </c>
      <c r="W106" s="5">
        <v>0</v>
      </c>
      <c r="X106" s="5">
        <v>10620.978999999999</v>
      </c>
      <c r="Y106" s="5">
        <v>0</v>
      </c>
      <c r="Z106" s="5">
        <v>0</v>
      </c>
      <c r="AA106" s="5" t="s">
        <v>98</v>
      </c>
      <c r="AB106" s="5">
        <v>-87.7439999999999</v>
      </c>
      <c r="AC106" s="5">
        <f t="shared" si="1"/>
        <v>10533.234999999999</v>
      </c>
      <c r="AD106" s="5"/>
    </row>
    <row r="107" spans="1:30" s="1" customFormat="1" ht="12" customHeight="1" x14ac:dyDescent="0.2">
      <c r="A107" s="75">
        <v>39295</v>
      </c>
      <c r="B107" s="5">
        <v>8402</v>
      </c>
      <c r="C107" s="5">
        <v>504.09922963000196</v>
      </c>
      <c r="D107" s="5">
        <v>-5.5155222300000055</v>
      </c>
      <c r="E107" s="5">
        <v>-223.464</v>
      </c>
      <c r="F107" s="5">
        <v>0</v>
      </c>
      <c r="G107" s="5">
        <v>-603.01910038999995</v>
      </c>
      <c r="H107" s="5">
        <v>898</v>
      </c>
      <c r="I107" s="5">
        <v>0</v>
      </c>
      <c r="J107" s="5">
        <v>153.33399999999997</v>
      </c>
      <c r="K107" s="5">
        <v>9125.4346070100037</v>
      </c>
      <c r="L107" s="5">
        <v>0</v>
      </c>
      <c r="M107" s="5">
        <v>-252.08</v>
      </c>
      <c r="N107" s="5">
        <v>210.41</v>
      </c>
      <c r="O107" s="5">
        <v>0</v>
      </c>
      <c r="P107" s="5">
        <v>0</v>
      </c>
      <c r="Q107" s="5" t="s">
        <v>98</v>
      </c>
      <c r="R107" s="5">
        <v>-108.86959174999991</v>
      </c>
      <c r="S107" s="5">
        <v>-150.5395917499996</v>
      </c>
      <c r="T107" s="5">
        <v>8974.8950152600046</v>
      </c>
      <c r="U107" s="5">
        <v>9465.7167368874234</v>
      </c>
      <c r="V107" s="5">
        <v>0</v>
      </c>
      <c r="W107" s="5">
        <v>-252.08</v>
      </c>
      <c r="X107" s="5">
        <v>10852.028</v>
      </c>
      <c r="Y107" s="5">
        <v>0</v>
      </c>
      <c r="Z107" s="5">
        <v>0</v>
      </c>
      <c r="AA107" s="5" t="s">
        <v>98</v>
      </c>
      <c r="AB107" s="5">
        <v>-196.61359175000001</v>
      </c>
      <c r="AC107" s="5">
        <f t="shared" si="1"/>
        <v>10403.334408250001</v>
      </c>
      <c r="AD107" s="5"/>
    </row>
    <row r="108" spans="1:30" s="1" customFormat="1" ht="12" customHeight="1" x14ac:dyDescent="0.2">
      <c r="A108" s="75">
        <v>39326</v>
      </c>
      <c r="B108" s="5">
        <v>8975</v>
      </c>
      <c r="C108" s="5">
        <v>679.956672080001</v>
      </c>
      <c r="D108" s="5">
        <v>-69.558825080000034</v>
      </c>
      <c r="E108" s="5">
        <v>-167.238</v>
      </c>
      <c r="F108" s="5">
        <v>0</v>
      </c>
      <c r="G108" s="5">
        <v>-834.41865602000007</v>
      </c>
      <c r="H108" s="5">
        <v>470</v>
      </c>
      <c r="I108" s="5">
        <v>0</v>
      </c>
      <c r="J108" s="5">
        <v>-39.805</v>
      </c>
      <c r="K108" s="5">
        <v>9013.9361909800027</v>
      </c>
      <c r="L108" s="5">
        <v>0</v>
      </c>
      <c r="M108" s="5">
        <v>252.63540000000012</v>
      </c>
      <c r="N108" s="5">
        <v>-757.73125224000069</v>
      </c>
      <c r="O108" s="5">
        <v>0</v>
      </c>
      <c r="P108" s="5">
        <v>0</v>
      </c>
      <c r="Q108" s="5" t="s">
        <v>98</v>
      </c>
      <c r="R108" s="5">
        <v>-181.41511993999973</v>
      </c>
      <c r="S108" s="5">
        <v>-686.51097218000029</v>
      </c>
      <c r="T108" s="5">
        <v>8327.4252188000028</v>
      </c>
      <c r="U108" s="5">
        <v>8980.949869052336</v>
      </c>
      <c r="V108" s="5">
        <v>0</v>
      </c>
      <c r="W108" s="5">
        <v>0</v>
      </c>
      <c r="X108" s="5">
        <v>10148.29355676</v>
      </c>
      <c r="Y108" s="5">
        <v>0</v>
      </c>
      <c r="Z108" s="5">
        <v>0</v>
      </c>
      <c r="AA108" s="5" t="s">
        <v>98</v>
      </c>
      <c r="AB108" s="5">
        <v>-379</v>
      </c>
      <c r="AC108" s="5">
        <f t="shared" si="1"/>
        <v>9769.2935567599998</v>
      </c>
      <c r="AD108" s="5"/>
    </row>
    <row r="109" spans="1:30" s="1" customFormat="1" ht="12" customHeight="1" x14ac:dyDescent="0.2">
      <c r="A109" s="75">
        <v>39356</v>
      </c>
      <c r="B109" s="5">
        <v>8327</v>
      </c>
      <c r="C109" s="5">
        <v>-772.1472300100005</v>
      </c>
      <c r="D109" s="5">
        <v>-85.270605500000016</v>
      </c>
      <c r="E109" s="5">
        <v>-201.99299999999999</v>
      </c>
      <c r="F109" s="5">
        <v>0</v>
      </c>
      <c r="G109" s="5">
        <v>-981.53700000000003</v>
      </c>
      <c r="H109" s="5">
        <v>846.73199999999997</v>
      </c>
      <c r="I109" s="5">
        <v>0</v>
      </c>
      <c r="J109" s="5">
        <v>-19.210999999999999</v>
      </c>
      <c r="K109" s="5">
        <v>7113.5731644899988</v>
      </c>
      <c r="L109" s="5">
        <v>0</v>
      </c>
      <c r="M109" s="5">
        <v>0</v>
      </c>
      <c r="N109" s="5">
        <v>-283.76699999999937</v>
      </c>
      <c r="O109" s="5">
        <v>0</v>
      </c>
      <c r="P109" s="5">
        <v>0</v>
      </c>
      <c r="Q109" s="5" t="s">
        <v>98</v>
      </c>
      <c r="R109" s="5">
        <v>319.46399999999983</v>
      </c>
      <c r="S109" s="5">
        <v>35.697000000000457</v>
      </c>
      <c r="T109" s="5">
        <v>7149.2701644899989</v>
      </c>
      <c r="U109" s="5">
        <v>8349.9635448551635</v>
      </c>
      <c r="V109" s="5">
        <v>0</v>
      </c>
      <c r="W109" s="5">
        <v>-0.44459999999986599</v>
      </c>
      <c r="X109" s="5">
        <v>9933.2555567599993</v>
      </c>
      <c r="Y109" s="5">
        <v>0</v>
      </c>
      <c r="Z109" s="5">
        <v>0</v>
      </c>
      <c r="AA109" s="5" t="s">
        <v>98</v>
      </c>
      <c r="AB109" s="5">
        <v>-59.564711689999697</v>
      </c>
      <c r="AC109" s="5">
        <f t="shared" si="1"/>
        <v>9873.2462450699986</v>
      </c>
      <c r="AD109" s="5"/>
    </row>
    <row r="110" spans="1:30" s="1" customFormat="1" ht="12" customHeight="1" x14ac:dyDescent="0.2">
      <c r="A110" s="75">
        <v>39387</v>
      </c>
      <c r="B110" s="5">
        <v>7149</v>
      </c>
      <c r="C110" s="5">
        <v>-21.360715795000075</v>
      </c>
      <c r="D110" s="5">
        <v>-13.93391201000007</v>
      </c>
      <c r="E110" s="5">
        <v>-151.209</v>
      </c>
      <c r="F110" s="5">
        <v>0</v>
      </c>
      <c r="G110" s="5">
        <v>-785.02099999999996</v>
      </c>
      <c r="H110" s="5">
        <v>350</v>
      </c>
      <c r="I110" s="5">
        <v>0</v>
      </c>
      <c r="J110" s="5">
        <v>-16.277000000000001</v>
      </c>
      <c r="K110" s="5">
        <v>6511.198372195</v>
      </c>
      <c r="L110" s="5">
        <v>628.553</v>
      </c>
      <c r="M110" s="5">
        <v>0</v>
      </c>
      <c r="N110" s="5">
        <v>-554.80513842999972</v>
      </c>
      <c r="O110" s="5">
        <v>0</v>
      </c>
      <c r="P110" s="5">
        <v>0</v>
      </c>
      <c r="Q110" s="5" t="s">
        <v>98</v>
      </c>
      <c r="R110" s="5">
        <v>36.873000000000104</v>
      </c>
      <c r="S110" s="5">
        <v>110.62086157000039</v>
      </c>
      <c r="T110" s="5">
        <v>6621.8192337650007</v>
      </c>
      <c r="U110" s="5">
        <v>6711.3196285483327</v>
      </c>
      <c r="V110" s="5">
        <v>628.553</v>
      </c>
      <c r="W110" s="5">
        <v>-0.44459999999986599</v>
      </c>
      <c r="X110" s="5">
        <v>9439.7854183300005</v>
      </c>
      <c r="Y110" s="5">
        <v>0</v>
      </c>
      <c r="Z110" s="5">
        <v>0</v>
      </c>
      <c r="AA110" s="5" t="s">
        <v>98</v>
      </c>
      <c r="AB110" s="5">
        <v>-22.6917116899996</v>
      </c>
      <c r="AC110" s="5">
        <f t="shared" si="1"/>
        <v>10045.202106640001</v>
      </c>
      <c r="AD110" s="5"/>
    </row>
    <row r="111" spans="1:30" s="1" customFormat="1" ht="12" customHeight="1" x14ac:dyDescent="0.2">
      <c r="A111" s="75">
        <v>39417</v>
      </c>
      <c r="B111" s="5">
        <v>6622</v>
      </c>
      <c r="C111" s="5">
        <v>991.98283106999963</v>
      </c>
      <c r="D111" s="5">
        <v>-562.98137393999991</v>
      </c>
      <c r="E111" s="5">
        <v>-99.477999999999994</v>
      </c>
      <c r="F111" s="5">
        <v>0</v>
      </c>
      <c r="G111" s="5">
        <v>-588.79727100000002</v>
      </c>
      <c r="H111" s="5">
        <v>1153.2</v>
      </c>
      <c r="I111" s="5">
        <v>0</v>
      </c>
      <c r="J111" s="5">
        <v>-30.923000000000002</v>
      </c>
      <c r="K111" s="5">
        <v>7485.0031861299994</v>
      </c>
      <c r="L111" s="5">
        <v>182.29899999999998</v>
      </c>
      <c r="M111" s="5">
        <v>0</v>
      </c>
      <c r="N111" s="5">
        <v>783.66958166999984</v>
      </c>
      <c r="O111" s="5">
        <v>0</v>
      </c>
      <c r="P111" s="5">
        <v>0</v>
      </c>
      <c r="Q111" s="5" t="s">
        <v>98</v>
      </c>
      <c r="R111" s="5">
        <v>-308.86900000000014</v>
      </c>
      <c r="S111" s="5">
        <v>657.09958166999968</v>
      </c>
      <c r="T111" s="5">
        <v>8142.1027677999991</v>
      </c>
      <c r="U111" s="5">
        <v>7296.2080648727415</v>
      </c>
      <c r="V111" s="5">
        <v>810.85199999999998</v>
      </c>
      <c r="W111" s="5">
        <v>-0.44459999999986599</v>
      </c>
      <c r="X111" s="5">
        <v>10241.715</v>
      </c>
      <c r="Y111" s="5">
        <v>0</v>
      </c>
      <c r="Z111" s="5">
        <v>0</v>
      </c>
      <c r="AA111" s="5" t="s">
        <v>98</v>
      </c>
      <c r="AB111" s="5">
        <v>-331.56071169000001</v>
      </c>
      <c r="AC111" s="5">
        <f t="shared" si="1"/>
        <v>10720.561688310001</v>
      </c>
      <c r="AD111" s="5"/>
    </row>
    <row r="112" spans="1:30" s="1" customFormat="1" ht="12" customHeight="1" x14ac:dyDescent="0.2">
      <c r="A112" s="7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s="1" customFormat="1" ht="12" customHeight="1" x14ac:dyDescent="0.2">
      <c r="A113" s="7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s="1" customFormat="1" ht="12" customHeight="1" x14ac:dyDescent="0.2">
      <c r="A114" s="7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s="1" customFormat="1" ht="12" customHeight="1" x14ac:dyDescent="0.2">
      <c r="A115" s="7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s="1" customFormat="1" ht="12" customHeight="1" x14ac:dyDescent="0.2">
      <c r="A116" s="7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s="1" customFormat="1" ht="12" customHeight="1" x14ac:dyDescent="0.2">
      <c r="A117" s="7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s="1" customFormat="1" ht="12" customHeight="1" x14ac:dyDescent="0.2">
      <c r="A118" s="7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s="1" customFormat="1" ht="12" customHeight="1" x14ac:dyDescent="0.2">
      <c r="A119" s="7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x14ac:dyDescent="0.2">
      <c r="A120" s="7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30" x14ac:dyDescent="0.2">
      <c r="A121" s="84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</row>
  </sheetData>
  <mergeCells count="12">
    <mergeCell ref="AC4:AC5"/>
    <mergeCell ref="A4:A5"/>
    <mergeCell ref="E4:I4"/>
    <mergeCell ref="L4:S4"/>
    <mergeCell ref="V4:AB4"/>
    <mergeCell ref="B4:B5"/>
    <mergeCell ref="C4:C5"/>
    <mergeCell ref="D4:D5"/>
    <mergeCell ref="J4:J5"/>
    <mergeCell ref="K4:K5"/>
    <mergeCell ref="T4:T5"/>
    <mergeCell ref="U4:U5"/>
  </mergeCells>
  <phoneticPr fontId="0" type="noConversion"/>
  <pageMargins left="0.19685039370078741" right="0.19685039370078741" top="0.98425196850393704" bottom="0.98425196850393704" header="0.51181102362204722" footer="0.51181102362204722"/>
  <pageSetup paperSize="8" scale="90" fitToHeight="3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Y230"/>
  <sheetViews>
    <sheetView tabSelected="1" zoomScale="120" zoomScaleNormal="120" workbookViewId="0">
      <pane xSplit="1" ySplit="5" topLeftCell="T210" activePane="bottomRight" state="frozen"/>
      <selection pane="topRight" activeCell="B1" sqref="B1"/>
      <selection pane="bottomLeft" activeCell="A6" sqref="A6"/>
      <selection pane="bottomRight" activeCell="AI231" sqref="AI231"/>
    </sheetView>
  </sheetViews>
  <sheetFormatPr defaultColWidth="9.140625" defaultRowHeight="12.75" x14ac:dyDescent="0.2"/>
  <cols>
    <col min="2" max="25" width="12.85546875" style="59" customWidth="1"/>
    <col min="26" max="26" width="10.140625" style="59" customWidth="1"/>
    <col min="27" max="35" width="12.85546875" style="59" customWidth="1"/>
    <col min="36" max="36" width="10.5703125" style="5" customWidth="1"/>
    <col min="37" max="39" width="9.140625" style="5" customWidth="1"/>
    <col min="40" max="40" width="9.140625" style="85" customWidth="1"/>
    <col min="41" max="48" width="9.140625" style="5" customWidth="1"/>
  </cols>
  <sheetData>
    <row r="1" spans="1:48" s="1" customFormat="1" ht="12.75" customHeight="1" x14ac:dyDescent="0.25">
      <c r="A1" s="70" t="s">
        <v>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"/>
      <c r="AK1" s="5"/>
      <c r="AL1" s="5"/>
      <c r="AM1" s="5"/>
      <c r="AN1" s="85"/>
      <c r="AO1" s="5"/>
      <c r="AP1" s="5"/>
      <c r="AQ1" s="5"/>
      <c r="AR1" s="5"/>
      <c r="AS1" s="5"/>
      <c r="AT1" s="5"/>
      <c r="AU1" s="5"/>
      <c r="AV1" s="5"/>
    </row>
    <row r="2" spans="1:48" s="1" customFormat="1" ht="12.75" customHeight="1" x14ac:dyDescent="0.2">
      <c r="A2" s="10"/>
      <c r="B2" s="64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"/>
      <c r="AK2" s="5"/>
      <c r="AL2" s="5"/>
      <c r="AM2" s="5"/>
      <c r="AN2" s="85"/>
      <c r="AO2" s="5"/>
      <c r="AP2" s="5"/>
      <c r="AQ2" s="5"/>
      <c r="AR2" s="5"/>
      <c r="AS2" s="5"/>
      <c r="AT2" s="5"/>
      <c r="AU2" s="5"/>
      <c r="AV2" s="5"/>
    </row>
    <row r="3" spans="1:48" s="1" customFormat="1" ht="12" customHeight="1" x14ac:dyDescent="0.2">
      <c r="B3" s="56"/>
      <c r="C3" s="65"/>
      <c r="D3" s="65"/>
      <c r="E3" s="65"/>
      <c r="F3" s="65"/>
      <c r="G3" s="65"/>
      <c r="H3" s="65"/>
      <c r="I3" s="65"/>
      <c r="J3" s="63"/>
      <c r="K3" s="63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"/>
      <c r="AK3" s="5"/>
      <c r="AL3" s="5"/>
      <c r="AM3" s="5"/>
      <c r="AN3" s="85"/>
      <c r="AO3" s="5"/>
      <c r="AP3" s="5"/>
      <c r="AQ3" s="5"/>
      <c r="AR3" s="5"/>
      <c r="AS3" s="5"/>
      <c r="AT3" s="5"/>
      <c r="AU3" s="5"/>
      <c r="AV3" s="5"/>
    </row>
    <row r="4" spans="1:48" s="1" customFormat="1" x14ac:dyDescent="0.2">
      <c r="A4" s="98" t="s">
        <v>99</v>
      </c>
      <c r="B4" s="95" t="s">
        <v>7</v>
      </c>
      <c r="C4" s="95" t="s">
        <v>8</v>
      </c>
      <c r="D4" s="95" t="s">
        <v>30</v>
      </c>
      <c r="E4" s="90" t="s">
        <v>31</v>
      </c>
      <c r="F4" s="91"/>
      <c r="G4" s="91"/>
      <c r="H4" s="91"/>
      <c r="I4" s="94"/>
      <c r="J4" s="95" t="s">
        <v>38</v>
      </c>
      <c r="K4" s="95" t="s">
        <v>39</v>
      </c>
      <c r="L4" s="97" t="s">
        <v>32</v>
      </c>
      <c r="M4" s="91"/>
      <c r="N4" s="91"/>
      <c r="O4" s="91"/>
      <c r="P4" s="91"/>
      <c r="Q4" s="91"/>
      <c r="R4" s="91"/>
      <c r="S4" s="91"/>
      <c r="T4" s="91"/>
      <c r="U4" s="91"/>
      <c r="V4" s="94"/>
      <c r="W4" s="95" t="s">
        <v>46</v>
      </c>
      <c r="X4" s="95" t="s">
        <v>15</v>
      </c>
      <c r="Y4" s="90" t="s">
        <v>33</v>
      </c>
      <c r="Z4" s="91"/>
      <c r="AA4" s="91"/>
      <c r="AB4" s="91"/>
      <c r="AC4" s="91"/>
      <c r="AD4" s="91"/>
      <c r="AE4" s="91"/>
      <c r="AF4" s="87"/>
      <c r="AG4" s="87"/>
      <c r="AH4" s="87"/>
      <c r="AI4" s="92" t="s">
        <v>52</v>
      </c>
      <c r="AJ4" s="5"/>
      <c r="AK4" s="5"/>
      <c r="AL4" s="5"/>
      <c r="AM4" s="5"/>
      <c r="AN4" s="85"/>
      <c r="AO4" s="5"/>
      <c r="AP4" s="5"/>
      <c r="AQ4" s="5"/>
      <c r="AR4" s="5"/>
      <c r="AS4" s="5"/>
      <c r="AT4" s="5"/>
      <c r="AU4" s="5"/>
      <c r="AV4" s="5"/>
    </row>
    <row r="5" spans="1:48" s="1" customFormat="1" ht="60" x14ac:dyDescent="0.2">
      <c r="A5" s="99"/>
      <c r="B5" s="96"/>
      <c r="C5" s="96"/>
      <c r="D5" s="96"/>
      <c r="E5" s="60" t="s">
        <v>35</v>
      </c>
      <c r="F5" s="67" t="s">
        <v>36</v>
      </c>
      <c r="G5" s="67" t="s">
        <v>100</v>
      </c>
      <c r="H5" s="67" t="s">
        <v>37</v>
      </c>
      <c r="I5" s="66" t="s">
        <v>34</v>
      </c>
      <c r="J5" s="96"/>
      <c r="K5" s="96"/>
      <c r="L5" s="60" t="s">
        <v>40</v>
      </c>
      <c r="M5" s="68" t="s">
        <v>41</v>
      </c>
      <c r="N5" s="67" t="s">
        <v>97</v>
      </c>
      <c r="O5" s="67" t="s">
        <v>101</v>
      </c>
      <c r="P5" s="67" t="s">
        <v>43</v>
      </c>
      <c r="Q5" s="67" t="s">
        <v>44</v>
      </c>
      <c r="R5" s="26" t="s">
        <v>94</v>
      </c>
      <c r="S5" s="26" t="s">
        <v>103</v>
      </c>
      <c r="T5" s="26" t="s">
        <v>104</v>
      </c>
      <c r="U5" s="26" t="s">
        <v>109</v>
      </c>
      <c r="V5" s="62" t="s">
        <v>45</v>
      </c>
      <c r="W5" s="96"/>
      <c r="X5" s="96"/>
      <c r="Y5" s="60" t="s">
        <v>105</v>
      </c>
      <c r="Z5" s="68" t="s">
        <v>106</v>
      </c>
      <c r="AA5" s="68" t="s">
        <v>96</v>
      </c>
      <c r="AB5" s="68" t="s">
        <v>102</v>
      </c>
      <c r="AC5" s="67" t="s">
        <v>50</v>
      </c>
      <c r="AD5" s="68" t="s">
        <v>51</v>
      </c>
      <c r="AE5" s="83" t="s">
        <v>108</v>
      </c>
      <c r="AF5" s="83" t="s">
        <v>107</v>
      </c>
      <c r="AG5" s="83" t="s">
        <v>111</v>
      </c>
      <c r="AH5" s="26" t="s">
        <v>110</v>
      </c>
      <c r="AI5" s="93"/>
      <c r="AJ5" s="86"/>
      <c r="AK5" s="5"/>
      <c r="AL5" s="5"/>
      <c r="AM5" s="5"/>
      <c r="AN5" s="85"/>
      <c r="AO5" s="5"/>
      <c r="AP5" s="5"/>
      <c r="AQ5" s="5"/>
      <c r="AR5" s="5"/>
      <c r="AS5" s="5"/>
      <c r="AT5" s="5"/>
      <c r="AU5" s="5"/>
      <c r="AV5" s="5"/>
    </row>
    <row r="6" spans="1:48" s="1" customFormat="1" ht="12" customHeight="1" x14ac:dyDescent="0.2">
      <c r="B6" s="69"/>
      <c r="C6" s="58"/>
      <c r="D6" s="58"/>
      <c r="E6" s="58"/>
      <c r="F6" s="56"/>
      <c r="G6" s="56"/>
      <c r="H6" s="56"/>
      <c r="I6" s="57"/>
      <c r="J6" s="56"/>
      <c r="K6" s="56"/>
      <c r="L6" s="57"/>
      <c r="M6" s="56"/>
      <c r="N6" s="56"/>
      <c r="O6" s="56"/>
      <c r="P6" s="56"/>
      <c r="Q6" s="57"/>
      <c r="R6" s="56"/>
      <c r="S6" s="56"/>
      <c r="T6" s="56"/>
      <c r="U6" s="56"/>
      <c r="V6" s="56"/>
      <c r="W6" s="56"/>
      <c r="X6" s="57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7"/>
      <c r="AJ6" s="5"/>
      <c r="AK6" s="5"/>
      <c r="AL6" s="5"/>
      <c r="AM6" s="5"/>
      <c r="AN6" s="85"/>
      <c r="AO6" s="5"/>
      <c r="AP6" s="5"/>
      <c r="AQ6" s="5"/>
      <c r="AR6" s="5"/>
      <c r="AS6" s="5"/>
      <c r="AT6" s="5"/>
      <c r="AU6" s="5"/>
      <c r="AV6" s="5"/>
    </row>
    <row r="7" spans="1:48" s="1" customFormat="1" ht="12" customHeight="1" x14ac:dyDescent="0.2">
      <c r="A7" s="75">
        <v>39448</v>
      </c>
      <c r="B7" s="5">
        <v>8142</v>
      </c>
      <c r="C7" s="5">
        <v>-1161.3506481399993</v>
      </c>
      <c r="D7" s="5">
        <v>1013</v>
      </c>
      <c r="E7" s="5">
        <v>-99.083714799999996</v>
      </c>
      <c r="F7" s="5">
        <v>0</v>
      </c>
      <c r="G7" s="5">
        <v>-735.49786695000012</v>
      </c>
      <c r="H7" s="5">
        <v>600</v>
      </c>
      <c r="I7" s="5">
        <v>0</v>
      </c>
      <c r="J7" s="5">
        <v>-41.038000000000011</v>
      </c>
      <c r="K7" s="5">
        <v>7718.0297701100008</v>
      </c>
      <c r="L7" s="5">
        <v>-818.18200000000002</v>
      </c>
      <c r="M7" s="5">
        <v>0</v>
      </c>
      <c r="N7" s="5">
        <v>618.58699999999953</v>
      </c>
      <c r="O7" s="5" t="s">
        <v>98</v>
      </c>
      <c r="P7" s="5">
        <v>0</v>
      </c>
      <c r="Q7" s="5" t="s">
        <v>98</v>
      </c>
      <c r="R7" s="5">
        <v>-286.97899999999998</v>
      </c>
      <c r="S7" s="5"/>
      <c r="T7" s="5"/>
      <c r="U7" s="5"/>
      <c r="V7" s="5">
        <v>-486.57400000000047</v>
      </c>
      <c r="W7" s="5">
        <v>7231.064639969999</v>
      </c>
      <c r="X7" s="5">
        <v>7865.9225111762908</v>
      </c>
      <c r="Y7" s="5">
        <v>0.33000000000004093</v>
      </c>
      <c r="Z7" s="5">
        <v>-0.44459999999986599</v>
      </c>
      <c r="AA7" s="5">
        <v>10886.339</v>
      </c>
      <c r="AB7" s="5" t="s">
        <v>98</v>
      </c>
      <c r="AC7" s="5">
        <v>0</v>
      </c>
      <c r="AD7" s="5" t="s">
        <v>98</v>
      </c>
      <c r="AE7" s="5">
        <v>-45.5817116899998</v>
      </c>
      <c r="AF7" s="5"/>
      <c r="AG7" s="5"/>
      <c r="AH7" s="5"/>
      <c r="AI7" s="5">
        <v>10840.642688310001</v>
      </c>
      <c r="AJ7" s="5"/>
      <c r="AK7" s="5"/>
      <c r="AL7" s="5"/>
      <c r="AM7" s="5"/>
      <c r="AN7" s="85"/>
      <c r="AO7" s="5"/>
      <c r="AP7" s="5"/>
      <c r="AQ7" s="5"/>
      <c r="AR7" s="5"/>
      <c r="AS7" s="5"/>
      <c r="AT7" s="5"/>
      <c r="AU7" s="5"/>
      <c r="AV7" s="5"/>
    </row>
    <row r="8" spans="1:48" s="1" customFormat="1" ht="12" customHeight="1" x14ac:dyDescent="0.2">
      <c r="A8" s="75">
        <v>39479</v>
      </c>
      <c r="B8" s="5">
        <v>7231</v>
      </c>
      <c r="C8" s="5">
        <v>-1325.6546702500002</v>
      </c>
      <c r="D8" s="5">
        <v>84.192040020000022</v>
      </c>
      <c r="E8" s="5">
        <v>-100.175</v>
      </c>
      <c r="F8" s="5">
        <v>0</v>
      </c>
      <c r="G8" s="5">
        <v>-392.36648844000001</v>
      </c>
      <c r="H8" s="5">
        <v>1200</v>
      </c>
      <c r="I8" s="5">
        <v>0</v>
      </c>
      <c r="J8" s="5">
        <v>416.29700000000003</v>
      </c>
      <c r="K8" s="5">
        <v>7113.2928813300005</v>
      </c>
      <c r="L8" s="5">
        <v>0</v>
      </c>
      <c r="M8" s="5">
        <v>0</v>
      </c>
      <c r="N8" s="5">
        <v>-549.28900000000067</v>
      </c>
      <c r="O8" s="5" t="s">
        <v>98</v>
      </c>
      <c r="P8" s="5">
        <v>0</v>
      </c>
      <c r="Q8" s="5" t="s">
        <v>98</v>
      </c>
      <c r="R8" s="5">
        <v>-58.211999999999989</v>
      </c>
      <c r="S8" s="5"/>
      <c r="T8" s="5"/>
      <c r="U8" s="5"/>
      <c r="V8" s="5">
        <v>-607.50100000000066</v>
      </c>
      <c r="W8" s="5">
        <v>6505.7918813300003</v>
      </c>
      <c r="X8" s="5">
        <v>6832.6679069527572</v>
      </c>
      <c r="Y8" s="5">
        <v>0.33000000000004093</v>
      </c>
      <c r="Z8" s="5">
        <v>-0.44459999999986599</v>
      </c>
      <c r="AA8" s="5">
        <v>10386.352999999999</v>
      </c>
      <c r="AB8" s="5" t="s">
        <v>98</v>
      </c>
      <c r="AC8" s="5">
        <v>0</v>
      </c>
      <c r="AD8" s="5" t="s">
        <v>98</v>
      </c>
      <c r="AE8" s="5">
        <v>-104.79371168999999</v>
      </c>
      <c r="AF8" s="5"/>
      <c r="AG8" s="5"/>
      <c r="AH8" s="5"/>
      <c r="AI8" s="5">
        <v>10281.444688310001</v>
      </c>
      <c r="AJ8" s="5"/>
      <c r="AK8" s="5"/>
      <c r="AL8" s="5"/>
      <c r="AM8" s="5"/>
      <c r="AN8" s="85"/>
      <c r="AO8" s="5"/>
      <c r="AP8" s="5"/>
      <c r="AQ8" s="5"/>
      <c r="AR8" s="5"/>
      <c r="AS8" s="5"/>
      <c r="AT8" s="5"/>
      <c r="AU8" s="5"/>
      <c r="AV8" s="5"/>
    </row>
    <row r="9" spans="1:48" s="1" customFormat="1" ht="12" customHeight="1" x14ac:dyDescent="0.2">
      <c r="A9" s="75">
        <v>39508</v>
      </c>
      <c r="B9" s="5">
        <v>6506</v>
      </c>
      <c r="C9" s="5">
        <v>-1020.0600102999998</v>
      </c>
      <c r="D9" s="5">
        <v>-69.026669804280033</v>
      </c>
      <c r="E9" s="5">
        <v>-198.95414578</v>
      </c>
      <c r="F9" s="5">
        <v>0</v>
      </c>
      <c r="G9" s="5">
        <v>-392.06850835</v>
      </c>
      <c r="H9" s="5">
        <v>400</v>
      </c>
      <c r="I9" s="5">
        <v>0</v>
      </c>
      <c r="J9" s="5">
        <v>225.39400000000001</v>
      </c>
      <c r="K9" s="5">
        <v>5451.284665765721</v>
      </c>
      <c r="L9" s="5">
        <v>254.66799999999998</v>
      </c>
      <c r="M9" s="5">
        <v>0</v>
      </c>
      <c r="N9" s="5">
        <v>2025.4610000000002</v>
      </c>
      <c r="O9" s="5" t="s">
        <v>98</v>
      </c>
      <c r="P9" s="5">
        <v>0</v>
      </c>
      <c r="Q9" s="5" t="s">
        <v>98</v>
      </c>
      <c r="R9" s="5">
        <v>36.064000000000007</v>
      </c>
      <c r="S9" s="5"/>
      <c r="T9" s="5"/>
      <c r="U9" s="5"/>
      <c r="V9" s="5">
        <v>2316.1930000000002</v>
      </c>
      <c r="W9" s="5">
        <v>7767.4776657657212</v>
      </c>
      <c r="X9" s="5">
        <v>7441.4418120835026</v>
      </c>
      <c r="Y9" s="5">
        <v>254.33799999999994</v>
      </c>
      <c r="Z9" s="5">
        <v>-0.44459999999986599</v>
      </c>
      <c r="AA9" s="5">
        <v>12446.843000000001</v>
      </c>
      <c r="AB9" s="5" t="s">
        <v>98</v>
      </c>
      <c r="AC9" s="5">
        <v>0</v>
      </c>
      <c r="AD9" s="5" t="s">
        <v>98</v>
      </c>
      <c r="AE9" s="5">
        <v>-68.729711689999803</v>
      </c>
      <c r="AF9" s="5"/>
      <c r="AG9" s="5"/>
      <c r="AH9" s="5"/>
      <c r="AI9" s="5">
        <v>12632.006688310003</v>
      </c>
      <c r="AJ9" s="5"/>
      <c r="AK9" s="5"/>
      <c r="AL9" s="5"/>
      <c r="AM9" s="5"/>
      <c r="AN9" s="85"/>
      <c r="AO9" s="5"/>
      <c r="AP9" s="5"/>
      <c r="AQ9" s="5"/>
      <c r="AR9" s="5"/>
      <c r="AS9" s="5"/>
      <c r="AT9" s="5"/>
      <c r="AU9" s="5"/>
      <c r="AV9" s="5"/>
    </row>
    <row r="10" spans="1:48" s="1" customFormat="1" ht="12" customHeight="1" x14ac:dyDescent="0.2">
      <c r="A10" s="75">
        <v>39539</v>
      </c>
      <c r="B10" s="5">
        <v>7768</v>
      </c>
      <c r="C10" s="5">
        <v>1179.9673936700012</v>
      </c>
      <c r="D10" s="5">
        <v>42.82268605000003</v>
      </c>
      <c r="E10" s="5">
        <v>-101.79995735</v>
      </c>
      <c r="F10" s="5">
        <v>0</v>
      </c>
      <c r="G10" s="5">
        <v>-490.49877279999998</v>
      </c>
      <c r="H10" s="5">
        <v>850</v>
      </c>
      <c r="I10" s="5">
        <v>0</v>
      </c>
      <c r="J10" s="5">
        <v>313.65499999999997</v>
      </c>
      <c r="K10" s="5">
        <v>9562.1463495700027</v>
      </c>
      <c r="L10" s="5">
        <v>-211.46200000000022</v>
      </c>
      <c r="M10" s="5">
        <v>-46.573999999999998</v>
      </c>
      <c r="N10" s="5">
        <v>-461.29599999999982</v>
      </c>
      <c r="O10" s="5" t="s">
        <v>98</v>
      </c>
      <c r="P10" s="5">
        <v>0</v>
      </c>
      <c r="Q10" s="5" t="s">
        <v>98</v>
      </c>
      <c r="R10" s="5">
        <v>46.751000000000033</v>
      </c>
      <c r="S10" s="5"/>
      <c r="T10" s="5"/>
      <c r="U10" s="5"/>
      <c r="V10" s="5">
        <v>-672.58100000000013</v>
      </c>
      <c r="W10" s="5">
        <v>8889.5653495700026</v>
      </c>
      <c r="X10" s="5">
        <v>8541.0132727490509</v>
      </c>
      <c r="Y10" s="5">
        <v>42.875999999999721</v>
      </c>
      <c r="Z10" s="5">
        <v>-47.0185999999999</v>
      </c>
      <c r="AA10" s="5">
        <v>12013.24</v>
      </c>
      <c r="AB10" s="5" t="s">
        <v>98</v>
      </c>
      <c r="AC10" s="5">
        <v>0</v>
      </c>
      <c r="AD10" s="5" t="s">
        <v>98</v>
      </c>
      <c r="AE10" s="5">
        <v>-21.978711689999798</v>
      </c>
      <c r="AF10" s="5"/>
      <c r="AG10" s="5"/>
      <c r="AH10" s="5"/>
      <c r="AI10" s="5">
        <v>11987.118688309998</v>
      </c>
      <c r="AJ10" s="5"/>
      <c r="AK10" s="5"/>
      <c r="AL10" s="5"/>
      <c r="AM10" s="5"/>
      <c r="AN10" s="85"/>
      <c r="AO10" s="5"/>
      <c r="AP10" s="5"/>
      <c r="AQ10" s="5"/>
      <c r="AR10" s="5"/>
      <c r="AS10" s="5"/>
      <c r="AT10" s="5"/>
      <c r="AU10" s="5"/>
      <c r="AV10" s="5"/>
    </row>
    <row r="11" spans="1:48" s="1" customFormat="1" ht="12" customHeight="1" x14ac:dyDescent="0.2">
      <c r="A11" s="75">
        <v>39569</v>
      </c>
      <c r="B11" s="5">
        <v>8890</v>
      </c>
      <c r="C11" s="5">
        <v>-799.00265621000392</v>
      </c>
      <c r="D11" s="5">
        <v>79.819124680000016</v>
      </c>
      <c r="E11" s="5">
        <v>-98.741</v>
      </c>
      <c r="F11" s="5">
        <v>0</v>
      </c>
      <c r="G11" s="5">
        <v>-490.30257768000001</v>
      </c>
      <c r="H11" s="5">
        <v>300</v>
      </c>
      <c r="I11" s="5">
        <v>0</v>
      </c>
      <c r="J11" s="5">
        <v>333.47</v>
      </c>
      <c r="K11" s="5">
        <v>8215.2428907899957</v>
      </c>
      <c r="L11" s="5">
        <v>-45.290999999999997</v>
      </c>
      <c r="M11" s="5">
        <v>-364.48599999999988</v>
      </c>
      <c r="N11" s="5">
        <v>283.36500000000001</v>
      </c>
      <c r="O11" s="5" t="s">
        <v>98</v>
      </c>
      <c r="P11" s="5">
        <v>0</v>
      </c>
      <c r="Q11" s="5" t="s">
        <v>98</v>
      </c>
      <c r="R11" s="5">
        <v>22.811999999999998</v>
      </c>
      <c r="S11" s="5"/>
      <c r="T11" s="5"/>
      <c r="U11" s="5"/>
      <c r="V11" s="5">
        <v>-103.6</v>
      </c>
      <c r="W11" s="5">
        <v>8111.6428907899954</v>
      </c>
      <c r="X11" s="5">
        <v>8500.8157145157184</v>
      </c>
      <c r="Y11" s="5">
        <v>2.4150000000002798</v>
      </c>
      <c r="Z11" s="5">
        <v>-411.50459999999998</v>
      </c>
      <c r="AA11" s="5">
        <v>12340.127</v>
      </c>
      <c r="AB11" s="5" t="s">
        <v>98</v>
      </c>
      <c r="AC11" s="5">
        <v>0</v>
      </c>
      <c r="AD11" s="5" t="s">
        <v>98</v>
      </c>
      <c r="AE11" s="5">
        <v>-0.83328831000019932</v>
      </c>
      <c r="AF11" s="5"/>
      <c r="AG11" s="5"/>
      <c r="AH11" s="5"/>
      <c r="AI11" s="5">
        <v>11930.20411169</v>
      </c>
      <c r="AJ11" s="5"/>
      <c r="AK11" s="5"/>
      <c r="AL11" s="5"/>
      <c r="AM11" s="5"/>
      <c r="AN11" s="85"/>
      <c r="AO11" s="5"/>
      <c r="AP11" s="5"/>
      <c r="AQ11" s="5"/>
      <c r="AR11" s="5"/>
      <c r="AS11" s="5"/>
      <c r="AT11" s="5"/>
      <c r="AU11" s="5"/>
      <c r="AV11" s="5"/>
    </row>
    <row r="12" spans="1:48" s="1" customFormat="1" ht="12" customHeight="1" x14ac:dyDescent="0.2">
      <c r="A12" s="75">
        <v>39600</v>
      </c>
      <c r="B12" s="5">
        <v>8111</v>
      </c>
      <c r="C12" s="5">
        <v>342.65940074000093</v>
      </c>
      <c r="D12" s="5">
        <v>79.177359789999954</v>
      </c>
      <c r="E12" s="5">
        <v>-199.91</v>
      </c>
      <c r="F12" s="5">
        <v>0</v>
      </c>
      <c r="G12" s="5">
        <v>-392.45683352999998</v>
      </c>
      <c r="H12" s="5">
        <v>300</v>
      </c>
      <c r="I12" s="5">
        <v>0</v>
      </c>
      <c r="J12" s="5">
        <v>201.95</v>
      </c>
      <c r="K12" s="5">
        <v>8442.4199270000026</v>
      </c>
      <c r="L12" s="5">
        <v>0</v>
      </c>
      <c r="M12" s="5">
        <v>414.48799999999983</v>
      </c>
      <c r="N12" s="5">
        <v>-867.06760000000031</v>
      </c>
      <c r="O12" s="5" t="s">
        <v>98</v>
      </c>
      <c r="P12" s="5">
        <v>0</v>
      </c>
      <c r="Q12" s="5" t="s">
        <v>98</v>
      </c>
      <c r="R12" s="5">
        <v>-36.924999999999997</v>
      </c>
      <c r="S12" s="5"/>
      <c r="T12" s="5"/>
      <c r="U12" s="5"/>
      <c r="V12" s="5">
        <v>-489.50460000000049</v>
      </c>
      <c r="W12" s="5">
        <v>7952.9153270000024</v>
      </c>
      <c r="X12" s="5">
        <v>7919.0751159225265</v>
      </c>
      <c r="Y12" s="5">
        <v>2.4150000000002798</v>
      </c>
      <c r="Z12" s="5">
        <v>-2.9834000000000742</v>
      </c>
      <c r="AA12" s="5">
        <v>11532.43</v>
      </c>
      <c r="AB12" s="5" t="s">
        <v>98</v>
      </c>
      <c r="AC12" s="5">
        <v>0</v>
      </c>
      <c r="AD12" s="5" t="s">
        <v>98</v>
      </c>
      <c r="AE12" s="5">
        <v>-36.091711689999798</v>
      </c>
      <c r="AF12" s="5"/>
      <c r="AG12" s="5"/>
      <c r="AH12" s="5"/>
      <c r="AI12" s="5">
        <v>11495.76988831</v>
      </c>
      <c r="AJ12" s="5"/>
      <c r="AK12" s="5"/>
      <c r="AL12" s="5"/>
      <c r="AM12" s="5"/>
      <c r="AN12" s="85"/>
      <c r="AO12" s="5"/>
      <c r="AP12" s="5"/>
      <c r="AQ12" s="5"/>
      <c r="AR12" s="5"/>
      <c r="AS12" s="5"/>
      <c r="AT12" s="5"/>
      <c r="AU12" s="5"/>
      <c r="AV12" s="5"/>
    </row>
    <row r="13" spans="1:48" s="1" customFormat="1" ht="12" customHeight="1" x14ac:dyDescent="0.2">
      <c r="A13" s="75">
        <v>39630</v>
      </c>
      <c r="B13" s="5">
        <v>7953</v>
      </c>
      <c r="C13" s="5">
        <v>1813.8718121099987</v>
      </c>
      <c r="D13" s="5">
        <v>-43.305464390000026</v>
      </c>
      <c r="E13" s="5">
        <v>-551.28099999999995</v>
      </c>
      <c r="F13" s="5">
        <v>2700</v>
      </c>
      <c r="G13" s="5">
        <v>-447.46600000000001</v>
      </c>
      <c r="H13" s="5">
        <v>600</v>
      </c>
      <c r="I13" s="5">
        <v>0</v>
      </c>
      <c r="J13" s="5">
        <v>-52.76</v>
      </c>
      <c r="K13" s="5">
        <v>11972.05934772</v>
      </c>
      <c r="L13" s="5">
        <v>0</v>
      </c>
      <c r="M13" s="5">
        <v>8.9749999999994543</v>
      </c>
      <c r="N13" s="5">
        <v>-3660.5269999999996</v>
      </c>
      <c r="O13" s="5" t="s">
        <v>98</v>
      </c>
      <c r="P13" s="5">
        <v>0</v>
      </c>
      <c r="Q13" s="5" t="s">
        <v>98</v>
      </c>
      <c r="R13" s="5">
        <v>-144.3845</v>
      </c>
      <c r="S13" s="5"/>
      <c r="T13" s="5"/>
      <c r="U13" s="5"/>
      <c r="V13" s="5">
        <v>-3795.9365000000003</v>
      </c>
      <c r="W13" s="5">
        <v>8176.1228477200002</v>
      </c>
      <c r="X13" s="5">
        <v>8189.0516922041952</v>
      </c>
      <c r="Y13" s="5">
        <v>0</v>
      </c>
      <c r="Z13" s="5">
        <v>0</v>
      </c>
      <c r="AA13" s="5">
        <v>7941.9619999999986</v>
      </c>
      <c r="AB13" s="5" t="s">
        <v>98</v>
      </c>
      <c r="AC13" s="5">
        <v>0</v>
      </c>
      <c r="AD13" s="5" t="s">
        <v>98</v>
      </c>
      <c r="AE13" s="5">
        <v>-181.4</v>
      </c>
      <c r="AF13" s="5"/>
      <c r="AG13" s="5"/>
      <c r="AH13" s="5"/>
      <c r="AI13" s="5">
        <v>7760.561999999999</v>
      </c>
      <c r="AJ13" s="5"/>
      <c r="AK13" s="5"/>
      <c r="AL13" s="5"/>
      <c r="AM13" s="5"/>
      <c r="AN13" s="85"/>
      <c r="AO13" s="5"/>
      <c r="AP13" s="5"/>
      <c r="AQ13" s="5"/>
      <c r="AR13" s="5"/>
      <c r="AS13" s="5"/>
      <c r="AT13" s="5"/>
      <c r="AU13" s="5"/>
      <c r="AV13" s="5"/>
    </row>
    <row r="14" spans="1:48" s="1" customFormat="1" ht="12" customHeight="1" x14ac:dyDescent="0.2">
      <c r="A14" s="75">
        <v>39661</v>
      </c>
      <c r="B14" s="5">
        <v>8176</v>
      </c>
      <c r="C14" s="5">
        <v>-153.04045390500238</v>
      </c>
      <c r="D14" s="5">
        <v>11.796632090000028</v>
      </c>
      <c r="E14" s="5">
        <v>-200.542</v>
      </c>
      <c r="F14" s="5">
        <v>0</v>
      </c>
      <c r="G14" s="5">
        <v>-392.79899999999998</v>
      </c>
      <c r="H14" s="5">
        <v>400</v>
      </c>
      <c r="I14" s="5">
        <v>0</v>
      </c>
      <c r="J14" s="5">
        <v>-58.040999999999997</v>
      </c>
      <c r="K14" s="5">
        <v>7783.3741781849976</v>
      </c>
      <c r="L14" s="5">
        <v>0</v>
      </c>
      <c r="M14" s="5">
        <v>-658.70600000000013</v>
      </c>
      <c r="N14" s="5">
        <v>-639.37100000000009</v>
      </c>
      <c r="O14" s="5" t="s">
        <v>98</v>
      </c>
      <c r="P14" s="5">
        <v>0</v>
      </c>
      <c r="Q14" s="5" t="s">
        <v>98</v>
      </c>
      <c r="R14" s="5">
        <v>181.583</v>
      </c>
      <c r="S14" s="5"/>
      <c r="T14" s="5"/>
      <c r="U14" s="5"/>
      <c r="V14" s="5">
        <v>-1116.4940000000001</v>
      </c>
      <c r="W14" s="5">
        <v>6666.8801781849979</v>
      </c>
      <c r="X14" s="5">
        <v>7782.0685129566091</v>
      </c>
      <c r="Y14" s="5">
        <v>0</v>
      </c>
      <c r="Z14" s="5">
        <v>-666.56</v>
      </c>
      <c r="AA14" s="5">
        <v>7330.454999999999</v>
      </c>
      <c r="AB14" s="5" t="s">
        <v>98</v>
      </c>
      <c r="AC14" s="5">
        <v>0</v>
      </c>
      <c r="AD14" s="5" t="s">
        <v>98</v>
      </c>
      <c r="AE14" s="5">
        <v>0</v>
      </c>
      <c r="AF14" s="5"/>
      <c r="AG14" s="5"/>
      <c r="AH14" s="5"/>
      <c r="AI14" s="5">
        <v>6663.8949999999986</v>
      </c>
      <c r="AJ14" s="5"/>
      <c r="AK14" s="5"/>
      <c r="AL14" s="5"/>
      <c r="AM14" s="5"/>
      <c r="AN14" s="85"/>
      <c r="AO14" s="5"/>
      <c r="AP14" s="5"/>
      <c r="AQ14" s="5"/>
      <c r="AR14" s="5"/>
      <c r="AS14" s="5"/>
      <c r="AT14" s="5"/>
      <c r="AU14" s="5"/>
      <c r="AV14" s="5"/>
    </row>
    <row r="15" spans="1:48" s="1" customFormat="1" ht="12" customHeight="1" x14ac:dyDescent="0.2">
      <c r="A15" s="75">
        <v>39692</v>
      </c>
      <c r="B15" s="5">
        <v>6667</v>
      </c>
      <c r="C15" s="5">
        <v>640.52998638000145</v>
      </c>
      <c r="D15" s="5">
        <v>-34.198328310000001</v>
      </c>
      <c r="E15" s="5">
        <v>-465.04199999999997</v>
      </c>
      <c r="F15" s="5">
        <v>0</v>
      </c>
      <c r="G15" s="5">
        <v>-393.34</v>
      </c>
      <c r="H15" s="5">
        <v>600</v>
      </c>
      <c r="I15" s="5">
        <v>0</v>
      </c>
      <c r="J15" s="5">
        <v>-61.414999999999992</v>
      </c>
      <c r="K15" s="5">
        <v>6953.5346580700007</v>
      </c>
      <c r="L15" s="5">
        <v>1436.9</v>
      </c>
      <c r="M15" s="5">
        <v>669.51800000000003</v>
      </c>
      <c r="N15" s="5">
        <v>716.98999999999978</v>
      </c>
      <c r="O15" s="5" t="s">
        <v>98</v>
      </c>
      <c r="P15" s="5">
        <v>0</v>
      </c>
      <c r="Q15" s="5" t="s">
        <v>98</v>
      </c>
      <c r="R15" s="5">
        <v>-25.45599999999995</v>
      </c>
      <c r="S15" s="5"/>
      <c r="T15" s="5"/>
      <c r="U15" s="5"/>
      <c r="V15" s="5">
        <v>2797.9519999999998</v>
      </c>
      <c r="W15" s="5">
        <v>9751.48665807</v>
      </c>
      <c r="X15" s="5">
        <v>8507.0383794603313</v>
      </c>
      <c r="Y15" s="5">
        <v>1437</v>
      </c>
      <c r="Z15" s="5">
        <v>0</v>
      </c>
      <c r="AA15" s="5">
        <v>8057.1959999999981</v>
      </c>
      <c r="AB15" s="5" t="s">
        <v>98</v>
      </c>
      <c r="AC15" s="5">
        <v>0</v>
      </c>
      <c r="AD15" s="5" t="s">
        <v>98</v>
      </c>
      <c r="AE15" s="5">
        <v>-23.49</v>
      </c>
      <c r="AF15" s="5"/>
      <c r="AG15" s="5"/>
      <c r="AH15" s="5"/>
      <c r="AI15" s="5">
        <v>9470.7059999999983</v>
      </c>
      <c r="AJ15" s="5"/>
      <c r="AK15" s="5"/>
      <c r="AL15" s="5"/>
      <c r="AM15" s="5"/>
      <c r="AN15" s="85"/>
      <c r="AO15" s="5"/>
      <c r="AP15" s="5"/>
      <c r="AQ15" s="5"/>
      <c r="AR15" s="5"/>
      <c r="AS15" s="5"/>
      <c r="AT15" s="5"/>
      <c r="AU15" s="5"/>
      <c r="AV15" s="5"/>
    </row>
    <row r="16" spans="1:48" s="1" customFormat="1" ht="12" customHeight="1" x14ac:dyDescent="0.2">
      <c r="A16" s="75">
        <v>39722</v>
      </c>
      <c r="B16" s="5">
        <v>9752</v>
      </c>
      <c r="C16" s="5">
        <v>1600.5210060300014</v>
      </c>
      <c r="D16" s="5">
        <v>-215.92017804999995</v>
      </c>
      <c r="E16" s="5">
        <v>-312.09800000000001</v>
      </c>
      <c r="F16" s="5">
        <v>0</v>
      </c>
      <c r="G16" s="5">
        <v>-837.17200000000014</v>
      </c>
      <c r="H16" s="5">
        <v>255</v>
      </c>
      <c r="I16" s="5">
        <v>0</v>
      </c>
      <c r="J16" s="5">
        <v>-41.795999999999992</v>
      </c>
      <c r="K16" s="5">
        <v>10200.53482798</v>
      </c>
      <c r="L16" s="5">
        <v>1085.0839999999998</v>
      </c>
      <c r="M16" s="5">
        <v>0</v>
      </c>
      <c r="N16" s="5">
        <v>-1769.9920000000002</v>
      </c>
      <c r="O16" s="5" t="s">
        <v>98</v>
      </c>
      <c r="P16" s="5">
        <v>-4.0000000000013358E-3</v>
      </c>
      <c r="Q16" s="5" t="s">
        <v>98</v>
      </c>
      <c r="R16" s="5">
        <v>-110.07</v>
      </c>
      <c r="S16" s="5"/>
      <c r="T16" s="5"/>
      <c r="U16" s="5"/>
      <c r="V16" s="5">
        <v>-794.9820000000002</v>
      </c>
      <c r="W16" s="5">
        <v>9405.5528279800001</v>
      </c>
      <c r="X16" s="5">
        <v>9501.6108877056395</v>
      </c>
      <c r="Y16" s="5">
        <v>2525</v>
      </c>
      <c r="Z16" s="5">
        <v>0</v>
      </c>
      <c r="AA16" s="5">
        <v>6317.2029999999986</v>
      </c>
      <c r="AB16" s="5" t="s">
        <v>98</v>
      </c>
      <c r="AC16" s="5">
        <v>0</v>
      </c>
      <c r="AD16" s="5" t="s">
        <v>98</v>
      </c>
      <c r="AE16" s="5">
        <v>-136.43</v>
      </c>
      <c r="AF16" s="5"/>
      <c r="AG16" s="5"/>
      <c r="AH16" s="5"/>
      <c r="AI16" s="5">
        <v>8705.7729999999974</v>
      </c>
      <c r="AJ16" s="5"/>
      <c r="AK16" s="5"/>
      <c r="AL16" s="5"/>
      <c r="AM16" s="5"/>
      <c r="AN16" s="85"/>
      <c r="AO16" s="5"/>
      <c r="AP16" s="5"/>
      <c r="AQ16" s="5"/>
      <c r="AR16" s="5"/>
      <c r="AS16" s="5"/>
      <c r="AT16" s="5"/>
      <c r="AU16" s="5"/>
      <c r="AV16" s="5"/>
    </row>
    <row r="17" spans="1:48" s="1" customFormat="1" ht="12" customHeight="1" x14ac:dyDescent="0.2">
      <c r="A17" s="75">
        <v>39753</v>
      </c>
      <c r="B17" s="5">
        <v>9405</v>
      </c>
      <c r="C17" s="5">
        <v>1359.4976052950019</v>
      </c>
      <c r="D17" s="5">
        <v>-44.504532035000011</v>
      </c>
      <c r="E17" s="5">
        <v>-284.16700000000003</v>
      </c>
      <c r="F17" s="5">
        <v>0</v>
      </c>
      <c r="G17" s="5">
        <v>-641.03</v>
      </c>
      <c r="H17" s="5">
        <v>600</v>
      </c>
      <c r="I17" s="5">
        <v>0</v>
      </c>
      <c r="J17" s="5">
        <v>-160.173</v>
      </c>
      <c r="K17" s="5">
        <v>10234.623073260002</v>
      </c>
      <c r="L17" s="5">
        <v>2998.4879999999998</v>
      </c>
      <c r="M17" s="5">
        <v>-2.1539999999995416</v>
      </c>
      <c r="N17" s="5">
        <v>-300</v>
      </c>
      <c r="O17" s="5">
        <v>-2435.86</v>
      </c>
      <c r="P17" s="5">
        <v>0</v>
      </c>
      <c r="Q17" s="5" t="s">
        <v>98</v>
      </c>
      <c r="R17" s="5">
        <v>46.447000000000003</v>
      </c>
      <c r="S17" s="5"/>
      <c r="T17" s="5"/>
      <c r="U17" s="5"/>
      <c r="V17" s="5">
        <v>306.92100000000062</v>
      </c>
      <c r="W17" s="5">
        <v>10541.544073260002</v>
      </c>
      <c r="X17" s="5">
        <v>10004.200215529831</v>
      </c>
      <c r="Y17" s="5">
        <v>5525</v>
      </c>
      <c r="Z17" s="5">
        <v>-5</v>
      </c>
      <c r="AA17" s="5">
        <v>6017.2029999999986</v>
      </c>
      <c r="AB17" s="5">
        <v>-2435.86</v>
      </c>
      <c r="AC17" s="5">
        <v>0</v>
      </c>
      <c r="AD17" s="5" t="s">
        <v>98</v>
      </c>
      <c r="AE17" s="5">
        <v>-90</v>
      </c>
      <c r="AF17" s="5"/>
      <c r="AG17" s="5"/>
      <c r="AH17" s="5"/>
      <c r="AI17" s="5">
        <v>9011.3429999999971</v>
      </c>
      <c r="AJ17" s="5"/>
      <c r="AK17" s="5"/>
      <c r="AL17" s="5"/>
      <c r="AM17" s="5"/>
      <c r="AN17" s="85"/>
      <c r="AO17" s="5"/>
      <c r="AP17" s="5"/>
      <c r="AQ17" s="5"/>
      <c r="AR17" s="5"/>
      <c r="AS17" s="5"/>
      <c r="AT17" s="5"/>
      <c r="AU17" s="5"/>
      <c r="AV17" s="5"/>
    </row>
    <row r="18" spans="1:48" ht="12" customHeight="1" x14ac:dyDescent="0.2">
      <c r="A18" s="75">
        <v>39783</v>
      </c>
      <c r="B18" s="5">
        <v>10542</v>
      </c>
      <c r="C18" s="5">
        <v>2560.5964509599994</v>
      </c>
      <c r="D18" s="5">
        <v>-572.08107478999989</v>
      </c>
      <c r="E18" s="5">
        <v>-172.32</v>
      </c>
      <c r="F18" s="5">
        <v>0</v>
      </c>
      <c r="G18" s="5">
        <v>-1632.0230000000001</v>
      </c>
      <c r="H18" s="5">
        <v>300</v>
      </c>
      <c r="I18" s="5">
        <v>0</v>
      </c>
      <c r="J18" s="5">
        <v>-93.78</v>
      </c>
      <c r="K18" s="5">
        <v>10932.392376170001</v>
      </c>
      <c r="L18" s="5">
        <v>-256.0619999999999</v>
      </c>
      <c r="M18" s="5">
        <v>6.3600000000000136</v>
      </c>
      <c r="N18" s="5">
        <v>-300</v>
      </c>
      <c r="O18" s="5">
        <v>-1228.17</v>
      </c>
      <c r="P18" s="5">
        <v>-0.18600000000000705</v>
      </c>
      <c r="Q18" s="5" t="s">
        <v>98</v>
      </c>
      <c r="R18" s="5">
        <v>-126.8570000000002</v>
      </c>
      <c r="S18" s="5"/>
      <c r="T18" s="5"/>
      <c r="U18" s="5"/>
      <c r="V18" s="5">
        <v>-1904.915</v>
      </c>
      <c r="W18" s="5">
        <v>9027.4773761700017</v>
      </c>
      <c r="X18" s="5">
        <v>9170.343765489195</v>
      </c>
      <c r="Y18" s="5">
        <v>5235</v>
      </c>
      <c r="Z18" s="5">
        <v>0</v>
      </c>
      <c r="AA18" s="5">
        <v>5717.2029999999986</v>
      </c>
      <c r="AB18" s="5">
        <v>-3664.03</v>
      </c>
      <c r="AC18" s="5">
        <v>0</v>
      </c>
      <c r="AD18" s="5" t="s">
        <v>98</v>
      </c>
      <c r="AE18" s="5">
        <v>-218</v>
      </c>
      <c r="AF18" s="5"/>
      <c r="AG18" s="5"/>
      <c r="AH18" s="5"/>
      <c r="AI18" s="5">
        <v>7070.172999999997</v>
      </c>
    </row>
    <row r="19" spans="1:48" ht="12" customHeight="1" x14ac:dyDescent="0.2">
      <c r="A19" s="75">
        <v>39814</v>
      </c>
      <c r="B19" s="5">
        <v>9027</v>
      </c>
      <c r="C19" s="5">
        <v>-4533.1964250699984</v>
      </c>
      <c r="D19" s="5">
        <v>374.76427447999976</v>
      </c>
      <c r="E19" s="5">
        <v>-333.34000000000003</v>
      </c>
      <c r="F19" s="5">
        <v>0</v>
      </c>
      <c r="G19" s="5">
        <v>-1979.2979560799999</v>
      </c>
      <c r="H19" s="5">
        <v>1000</v>
      </c>
      <c r="I19" s="5">
        <v>0</v>
      </c>
      <c r="J19" s="5">
        <v>-161.81100000000001</v>
      </c>
      <c r="K19" s="5">
        <v>3394.1188933300009</v>
      </c>
      <c r="L19" s="5">
        <v>1451.4360000000001</v>
      </c>
      <c r="M19" s="5">
        <v>-18.78</v>
      </c>
      <c r="N19" s="5">
        <v>5485.933</v>
      </c>
      <c r="O19" s="5">
        <v>-1479.4489999999998</v>
      </c>
      <c r="P19" s="5">
        <v>0</v>
      </c>
      <c r="Q19" s="5" t="s">
        <v>98</v>
      </c>
      <c r="R19" s="5">
        <v>-69.26099999999974</v>
      </c>
      <c r="S19" s="5"/>
      <c r="T19" s="5"/>
      <c r="U19" s="5"/>
      <c r="V19" s="5">
        <v>5369.8790000000008</v>
      </c>
      <c r="W19" s="5">
        <v>8763.9978933300008</v>
      </c>
      <c r="X19" s="5">
        <v>8470.2109987153181</v>
      </c>
      <c r="Y19" s="5">
        <v>6700</v>
      </c>
      <c r="Z19" s="5">
        <v>0</v>
      </c>
      <c r="AA19" s="5">
        <v>11211.945</v>
      </c>
      <c r="AB19" s="5">
        <v>-5143.4789999999994</v>
      </c>
      <c r="AC19" s="5">
        <v>0</v>
      </c>
      <c r="AD19" s="5" t="s">
        <v>98</v>
      </c>
      <c r="AE19" s="5">
        <v>-307</v>
      </c>
      <c r="AF19" s="5"/>
      <c r="AG19" s="5"/>
      <c r="AH19" s="5"/>
      <c r="AI19" s="5">
        <v>12461.466</v>
      </c>
    </row>
    <row r="20" spans="1:48" ht="12" customHeight="1" x14ac:dyDescent="0.2">
      <c r="A20" s="75">
        <v>39845</v>
      </c>
      <c r="B20" s="5">
        <v>8764</v>
      </c>
      <c r="C20" s="5">
        <v>1283.7511715300013</v>
      </c>
      <c r="D20" s="5">
        <v>17.159215100000168</v>
      </c>
      <c r="E20" s="5">
        <v>-478.99816378999998</v>
      </c>
      <c r="F20" s="5">
        <v>0</v>
      </c>
      <c r="G20" s="5">
        <v>-1388.0283131900001</v>
      </c>
      <c r="H20" s="5">
        <v>500</v>
      </c>
      <c r="I20" s="5">
        <v>0</v>
      </c>
      <c r="J20" s="5">
        <v>-283.49700000000007</v>
      </c>
      <c r="K20" s="5">
        <v>8414.3869096500021</v>
      </c>
      <c r="L20" s="5">
        <v>47.826000000000022</v>
      </c>
      <c r="M20" s="5">
        <v>18.866000000000042</v>
      </c>
      <c r="N20" s="5">
        <v>446.55500000000075</v>
      </c>
      <c r="O20" s="5">
        <v>529.87699999999995</v>
      </c>
      <c r="P20" s="5">
        <v>0</v>
      </c>
      <c r="Q20" s="5" t="s">
        <v>98</v>
      </c>
      <c r="R20" s="5">
        <v>46.773000000000138</v>
      </c>
      <c r="S20" s="5"/>
      <c r="T20" s="5"/>
      <c r="U20" s="5"/>
      <c r="V20" s="5">
        <v>1089.8970000000008</v>
      </c>
      <c r="W20" s="5">
        <v>9504.2839096500029</v>
      </c>
      <c r="X20" s="5">
        <v>9002.7333433071362</v>
      </c>
      <c r="Y20" s="5">
        <v>6750</v>
      </c>
      <c r="Z20" s="5">
        <v>0</v>
      </c>
      <c r="AA20" s="5">
        <v>11675.917999999998</v>
      </c>
      <c r="AB20" s="5">
        <v>-4613.601999999999</v>
      </c>
      <c r="AC20" s="5">
        <v>0</v>
      </c>
      <c r="AD20" s="5" t="s">
        <v>98</v>
      </c>
      <c r="AE20" s="5">
        <v>-242</v>
      </c>
      <c r="AF20" s="5"/>
      <c r="AG20" s="5"/>
      <c r="AH20" s="5"/>
      <c r="AI20" s="5">
        <v>13570.315999999999</v>
      </c>
    </row>
    <row r="21" spans="1:48" s="81" customFormat="1" ht="12" customHeight="1" x14ac:dyDescent="0.2">
      <c r="A21" s="75">
        <v>39873</v>
      </c>
      <c r="B21" s="5">
        <v>9504</v>
      </c>
      <c r="C21" s="5">
        <v>693.82716331000017</v>
      </c>
      <c r="D21" s="5">
        <v>-6.5827278700001388</v>
      </c>
      <c r="E21" s="5">
        <v>-849.91800000000012</v>
      </c>
      <c r="F21" s="5">
        <v>0</v>
      </c>
      <c r="G21" s="5">
        <v>-1583.8120000000001</v>
      </c>
      <c r="H21" s="5">
        <v>1150</v>
      </c>
      <c r="I21" s="5">
        <v>0</v>
      </c>
      <c r="J21" s="5">
        <v>-305.06999999999994</v>
      </c>
      <c r="K21" s="5">
        <v>8602.4444354400002</v>
      </c>
      <c r="L21" s="5">
        <v>350</v>
      </c>
      <c r="M21" s="5">
        <v>0.50600000000008549</v>
      </c>
      <c r="N21" s="5">
        <v>-2691.8949999999995</v>
      </c>
      <c r="O21" s="5">
        <v>456.61800000000005</v>
      </c>
      <c r="P21" s="5">
        <v>0</v>
      </c>
      <c r="Q21" s="5" t="s">
        <v>98</v>
      </c>
      <c r="R21" s="5">
        <v>152.30799999999999</v>
      </c>
      <c r="S21" s="5"/>
      <c r="T21" s="5"/>
      <c r="U21" s="5"/>
      <c r="V21" s="5">
        <v>-1732.4629999999993</v>
      </c>
      <c r="W21" s="5">
        <v>6869.9814354400005</v>
      </c>
      <c r="X21" s="5">
        <v>8120.0663592756418</v>
      </c>
      <c r="Y21" s="5">
        <v>7100</v>
      </c>
      <c r="Z21" s="5">
        <v>0</v>
      </c>
      <c r="AA21" s="5">
        <v>8999.1569999999974</v>
      </c>
      <c r="AB21" s="5">
        <v>-4156.9839999999986</v>
      </c>
      <c r="AC21" s="5">
        <v>0</v>
      </c>
      <c r="AD21" s="5" t="s">
        <v>98</v>
      </c>
      <c r="AE21" s="5">
        <v>-89.49</v>
      </c>
      <c r="AF21" s="5"/>
      <c r="AG21" s="5"/>
      <c r="AH21" s="5"/>
      <c r="AI21" s="5">
        <v>11852.682999999999</v>
      </c>
      <c r="AJ21" s="5"/>
      <c r="AK21" s="5"/>
      <c r="AL21" s="5"/>
      <c r="AM21" s="5"/>
      <c r="AN21" s="85"/>
      <c r="AO21" s="5"/>
      <c r="AP21" s="5"/>
      <c r="AQ21" s="5"/>
      <c r="AR21" s="5"/>
      <c r="AS21" s="5"/>
      <c r="AT21" s="5"/>
      <c r="AU21" s="5"/>
      <c r="AV21" s="5"/>
    </row>
    <row r="22" spans="1:48" s="81" customFormat="1" ht="12" customHeight="1" x14ac:dyDescent="0.2">
      <c r="A22" s="75">
        <v>39904</v>
      </c>
      <c r="B22" s="5">
        <v>6870</v>
      </c>
      <c r="C22" s="5">
        <v>1081.4435541000005</v>
      </c>
      <c r="D22" s="5">
        <v>-3.5097104600001239</v>
      </c>
      <c r="E22" s="5">
        <v>-575.82999999999993</v>
      </c>
      <c r="F22" s="5">
        <v>0</v>
      </c>
      <c r="G22" s="5">
        <v>-2074.7190000000001</v>
      </c>
      <c r="H22" s="5">
        <v>2000</v>
      </c>
      <c r="I22" s="5">
        <v>0</v>
      </c>
      <c r="J22" s="5">
        <v>-14.589999999999998</v>
      </c>
      <c r="K22" s="5">
        <v>7282.7948436400002</v>
      </c>
      <c r="L22" s="5">
        <v>298.72800000000007</v>
      </c>
      <c r="M22" s="5">
        <v>1.2999999999998124E-2</v>
      </c>
      <c r="N22" s="5">
        <v>-951.61200000000019</v>
      </c>
      <c r="O22" s="5">
        <v>1250</v>
      </c>
      <c r="P22" s="5">
        <v>0</v>
      </c>
      <c r="Q22" s="5" t="s">
        <v>98</v>
      </c>
      <c r="R22" s="5">
        <v>59.851000000000226</v>
      </c>
      <c r="S22" s="5"/>
      <c r="T22" s="5"/>
      <c r="U22" s="5"/>
      <c r="V22" s="5">
        <v>656.98000000000013</v>
      </c>
      <c r="W22" s="5">
        <v>7939.7748436400007</v>
      </c>
      <c r="X22" s="5">
        <v>7152.5817640633304</v>
      </c>
      <c r="Y22" s="5">
        <v>7399</v>
      </c>
      <c r="Z22" s="5">
        <v>0</v>
      </c>
      <c r="AA22" s="5">
        <v>8052.5989999999974</v>
      </c>
      <c r="AB22" s="5">
        <v>-2906.9839999999986</v>
      </c>
      <c r="AC22" s="5">
        <v>0</v>
      </c>
      <c r="AD22" s="5" t="s">
        <v>98</v>
      </c>
      <c r="AE22" s="5">
        <v>-30</v>
      </c>
      <c r="AF22" s="5"/>
      <c r="AG22" s="5"/>
      <c r="AH22" s="5"/>
      <c r="AI22" s="5">
        <v>12514.615</v>
      </c>
      <c r="AJ22" s="5"/>
      <c r="AK22" s="5"/>
      <c r="AL22" s="5"/>
      <c r="AM22" s="5"/>
      <c r="AN22" s="85"/>
      <c r="AO22" s="5"/>
      <c r="AP22" s="5"/>
      <c r="AQ22" s="5"/>
      <c r="AR22" s="5"/>
      <c r="AS22" s="5"/>
      <c r="AT22" s="5"/>
      <c r="AU22" s="5"/>
      <c r="AV22" s="5"/>
    </row>
    <row r="23" spans="1:48" s="81" customFormat="1" ht="12" customHeight="1" x14ac:dyDescent="0.2">
      <c r="A23" s="75">
        <v>39934</v>
      </c>
      <c r="B23" s="5">
        <v>7940</v>
      </c>
      <c r="C23" s="5">
        <v>-1577.0949714350011</v>
      </c>
      <c r="D23" s="5">
        <v>209.43239478000015</v>
      </c>
      <c r="E23" s="5">
        <v>-617.69600000000003</v>
      </c>
      <c r="F23" s="5">
        <v>0</v>
      </c>
      <c r="G23" s="5">
        <v>-1977.5709999999999</v>
      </c>
      <c r="H23" s="5">
        <v>1600</v>
      </c>
      <c r="I23" s="5">
        <v>0</v>
      </c>
      <c r="J23" s="5">
        <v>-20.039000000000001</v>
      </c>
      <c r="K23" s="5">
        <v>5557.0314233449999</v>
      </c>
      <c r="L23" s="5">
        <v>-425.15200000000004</v>
      </c>
      <c r="M23" s="5">
        <v>-147.23000000000002</v>
      </c>
      <c r="N23" s="5">
        <v>2275.6190000000001</v>
      </c>
      <c r="O23" s="5">
        <v>659.05</v>
      </c>
      <c r="P23" s="5">
        <v>0</v>
      </c>
      <c r="Q23" s="5" t="s">
        <v>98</v>
      </c>
      <c r="R23" s="5">
        <v>30.873000000000047</v>
      </c>
      <c r="S23" s="5"/>
      <c r="T23" s="5"/>
      <c r="U23" s="5"/>
      <c r="V23" s="5">
        <v>2393.1600000000003</v>
      </c>
      <c r="W23" s="5">
        <v>7950.1914233450007</v>
      </c>
      <c r="X23" s="5">
        <v>7997.9076700019341</v>
      </c>
      <c r="Y23" s="5">
        <v>7000</v>
      </c>
      <c r="Z23" s="5">
        <v>-148</v>
      </c>
      <c r="AA23" s="5">
        <v>10332.170999999998</v>
      </c>
      <c r="AB23" s="5">
        <v>-2247.9339999999984</v>
      </c>
      <c r="AC23" s="5">
        <v>0</v>
      </c>
      <c r="AD23" s="5" t="s">
        <v>98</v>
      </c>
      <c r="AE23" s="5">
        <v>0</v>
      </c>
      <c r="AF23" s="5"/>
      <c r="AG23" s="5"/>
      <c r="AH23" s="5"/>
      <c r="AI23" s="5">
        <v>14936.237000000001</v>
      </c>
      <c r="AJ23" s="5"/>
      <c r="AK23" s="5"/>
      <c r="AL23" s="5"/>
      <c r="AM23" s="5"/>
      <c r="AN23" s="85"/>
      <c r="AO23" s="5"/>
      <c r="AP23" s="5"/>
      <c r="AQ23" s="5"/>
      <c r="AR23" s="5"/>
      <c r="AS23" s="5"/>
      <c r="AT23" s="5"/>
      <c r="AU23" s="5"/>
      <c r="AV23" s="5"/>
    </row>
    <row r="24" spans="1:48" s="1" customFormat="1" ht="12" customHeight="1" x14ac:dyDescent="0.2">
      <c r="A24" s="75">
        <v>39965</v>
      </c>
      <c r="B24" s="5">
        <v>7950</v>
      </c>
      <c r="C24" s="5">
        <v>1423.6259284199991</v>
      </c>
      <c r="D24" s="5">
        <v>197.43565063</v>
      </c>
      <c r="E24" s="5">
        <v>-937.30499999999995</v>
      </c>
      <c r="F24" s="5">
        <v>0</v>
      </c>
      <c r="G24" s="5">
        <v>-1978.287</v>
      </c>
      <c r="H24" s="5">
        <v>900</v>
      </c>
      <c r="I24" s="5">
        <v>0</v>
      </c>
      <c r="J24" s="5">
        <v>-32.256999999999998</v>
      </c>
      <c r="K24" s="5">
        <v>7523.2125790499977</v>
      </c>
      <c r="L24" s="5">
        <v>-260.012</v>
      </c>
      <c r="M24" s="5">
        <v>147.35299999999984</v>
      </c>
      <c r="N24" s="5">
        <v>-346.63800000000015</v>
      </c>
      <c r="O24" s="5">
        <v>256.61500000000001</v>
      </c>
      <c r="P24" s="5">
        <v>0</v>
      </c>
      <c r="Q24" s="5" t="s">
        <v>98</v>
      </c>
      <c r="R24" s="5">
        <v>-189.596</v>
      </c>
      <c r="S24" s="5"/>
      <c r="T24" s="5"/>
      <c r="U24" s="5"/>
      <c r="V24" s="5">
        <v>-392.2780000000003</v>
      </c>
      <c r="W24" s="5">
        <v>7130.9345790499974</v>
      </c>
      <c r="X24" s="5">
        <v>7466.5316481946638</v>
      </c>
      <c r="Y24" s="5">
        <v>6745</v>
      </c>
      <c r="Z24" s="5">
        <v>0</v>
      </c>
      <c r="AA24" s="5">
        <v>9998.3419999999969</v>
      </c>
      <c r="AB24" s="5">
        <v>-1991.3189999999984</v>
      </c>
      <c r="AC24" s="5">
        <v>0</v>
      </c>
      <c r="AD24" s="5" t="s">
        <v>98</v>
      </c>
      <c r="AE24" s="5">
        <v>-189.7</v>
      </c>
      <c r="AF24" s="5"/>
      <c r="AG24" s="5"/>
      <c r="AH24" s="5"/>
      <c r="AI24" s="5">
        <v>14562.322999999999</v>
      </c>
      <c r="AJ24" s="5"/>
      <c r="AK24" s="5"/>
      <c r="AL24" s="5"/>
      <c r="AM24" s="5"/>
      <c r="AN24" s="85"/>
      <c r="AO24" s="5"/>
      <c r="AP24" s="5"/>
      <c r="AQ24" s="5"/>
      <c r="AR24" s="5"/>
      <c r="AS24" s="5"/>
      <c r="AT24" s="5"/>
      <c r="AU24" s="5"/>
      <c r="AV24" s="5"/>
    </row>
    <row r="25" spans="1:48" s="9" customFormat="1" ht="12" customHeight="1" x14ac:dyDescent="0.2">
      <c r="A25" s="75">
        <v>39995</v>
      </c>
      <c r="B25" s="5">
        <v>7131</v>
      </c>
      <c r="C25" s="5">
        <v>2071</v>
      </c>
      <c r="D25" s="9">
        <v>-33</v>
      </c>
      <c r="E25" s="5">
        <v>-1345</v>
      </c>
      <c r="F25" s="9">
        <v>3468</v>
      </c>
      <c r="G25" s="5">
        <v>-2277</v>
      </c>
      <c r="H25" s="5">
        <v>900</v>
      </c>
      <c r="I25" s="9">
        <v>0</v>
      </c>
      <c r="J25" s="5">
        <v>-7</v>
      </c>
      <c r="K25" s="5">
        <v>9909</v>
      </c>
      <c r="L25" s="5">
        <v>103</v>
      </c>
      <c r="M25" s="5">
        <v>0</v>
      </c>
      <c r="N25" s="9">
        <v>-1869</v>
      </c>
      <c r="O25" s="5">
        <v>-1316</v>
      </c>
      <c r="P25" s="5">
        <v>0</v>
      </c>
      <c r="Q25" s="75" t="s">
        <v>98</v>
      </c>
      <c r="R25" s="5">
        <v>-77</v>
      </c>
      <c r="S25" s="5"/>
      <c r="T25" s="5"/>
      <c r="U25" s="5"/>
      <c r="V25" s="5">
        <v>-3159</v>
      </c>
      <c r="W25" s="5">
        <v>6751</v>
      </c>
      <c r="X25" s="5">
        <v>7740</v>
      </c>
      <c r="Y25" s="5">
        <v>6850</v>
      </c>
      <c r="Z25" s="5">
        <v>0</v>
      </c>
      <c r="AA25" s="5">
        <v>8138</v>
      </c>
      <c r="AB25" s="5">
        <v>-3307</v>
      </c>
      <c r="AC25" s="5">
        <v>0</v>
      </c>
      <c r="AD25" s="5" t="s">
        <v>98</v>
      </c>
      <c r="AE25" s="5">
        <v>-267</v>
      </c>
      <c r="AF25" s="5"/>
      <c r="AG25" s="5"/>
      <c r="AH25" s="5"/>
      <c r="AI25" s="5">
        <v>11414</v>
      </c>
      <c r="AJ25" s="5"/>
      <c r="AK25" s="5"/>
      <c r="AL25" s="5"/>
      <c r="AM25" s="5"/>
      <c r="AN25" s="85"/>
    </row>
    <row r="26" spans="1:48" s="21" customFormat="1" ht="12" customHeight="1" x14ac:dyDescent="0.2">
      <c r="A26" s="75">
        <v>40026</v>
      </c>
      <c r="B26" s="5">
        <v>6751</v>
      </c>
      <c r="C26" s="5">
        <v>-333.28351034500008</v>
      </c>
      <c r="D26" s="5">
        <v>-21.622539070000002</v>
      </c>
      <c r="E26" s="5">
        <v>-1245.2370000000001</v>
      </c>
      <c r="F26" s="5">
        <v>0</v>
      </c>
      <c r="G26" s="5">
        <v>-1240.797</v>
      </c>
      <c r="H26" s="5">
        <v>1000</v>
      </c>
      <c r="I26" s="5">
        <v>0</v>
      </c>
      <c r="J26" s="5">
        <v>-27.702500000000001</v>
      </c>
      <c r="K26" s="5">
        <v>4882.3574505850002</v>
      </c>
      <c r="L26" s="5">
        <v>99.731999999999971</v>
      </c>
      <c r="M26" s="5">
        <v>7.5999999999908141E-2</v>
      </c>
      <c r="N26" s="5">
        <v>185.13099999999986</v>
      </c>
      <c r="O26" s="5">
        <v>450</v>
      </c>
      <c r="P26" s="5">
        <v>0</v>
      </c>
      <c r="Q26" s="5" t="s">
        <v>98</v>
      </c>
      <c r="R26" s="5">
        <v>175.40000000000026</v>
      </c>
      <c r="S26" s="5"/>
      <c r="T26" s="5"/>
      <c r="U26" s="5"/>
      <c r="V26" s="5">
        <v>910.33899999999994</v>
      </c>
      <c r="W26" s="5">
        <v>5792.6964505850001</v>
      </c>
      <c r="X26" s="5">
        <v>6953.17852133</v>
      </c>
      <c r="Y26" s="5">
        <v>6950</v>
      </c>
      <c r="Z26" s="5">
        <v>0</v>
      </c>
      <c r="AA26" s="5">
        <v>8327.0239999999976</v>
      </c>
      <c r="AB26" s="5">
        <v>-2857.1969999999997</v>
      </c>
      <c r="AC26" s="5">
        <v>0</v>
      </c>
      <c r="AD26" s="5" t="s">
        <v>98</v>
      </c>
      <c r="AE26" s="5">
        <v>-92.08</v>
      </c>
      <c r="AF26" s="5"/>
      <c r="AG26" s="5"/>
      <c r="AH26" s="5"/>
      <c r="AI26" s="5">
        <v>12327.746999999998</v>
      </c>
      <c r="AJ26" s="5"/>
      <c r="AK26" s="5"/>
      <c r="AL26" s="5"/>
      <c r="AM26" s="5"/>
      <c r="AN26" s="85"/>
      <c r="AO26" s="76"/>
      <c r="AP26" s="76"/>
      <c r="AQ26" s="76"/>
      <c r="AR26" s="76"/>
      <c r="AS26" s="76"/>
      <c r="AT26" s="76"/>
      <c r="AU26" s="76"/>
      <c r="AV26" s="76"/>
    </row>
    <row r="27" spans="1:48" s="81" customFormat="1" ht="12" customHeight="1" x14ac:dyDescent="0.2">
      <c r="A27" s="75">
        <v>40057</v>
      </c>
      <c r="B27" s="5">
        <v>5793</v>
      </c>
      <c r="C27" s="5">
        <v>529.32921571999998</v>
      </c>
      <c r="D27" s="5">
        <v>95.032996517000072</v>
      </c>
      <c r="E27" s="5">
        <v>-1975.7860000000001</v>
      </c>
      <c r="F27" s="5">
        <v>0</v>
      </c>
      <c r="G27" s="5">
        <v>-2172.9180000000001</v>
      </c>
      <c r="H27" s="5">
        <v>1700</v>
      </c>
      <c r="I27" s="5">
        <v>0</v>
      </c>
      <c r="J27" s="5">
        <v>-34.125</v>
      </c>
      <c r="K27" s="5">
        <v>3934.5332122370005</v>
      </c>
      <c r="L27" s="5">
        <v>174.67700000000013</v>
      </c>
      <c r="M27" s="5">
        <v>0</v>
      </c>
      <c r="N27" s="5">
        <v>857.09178300000053</v>
      </c>
      <c r="O27" s="5">
        <v>1425.33</v>
      </c>
      <c r="P27" s="5">
        <v>0</v>
      </c>
      <c r="Q27" s="5" t="s">
        <v>98</v>
      </c>
      <c r="R27" s="5">
        <v>92.091999999999999</v>
      </c>
      <c r="S27" s="5"/>
      <c r="T27" s="5"/>
      <c r="U27" s="5"/>
      <c r="V27" s="5">
        <v>2549.1907830000005</v>
      </c>
      <c r="W27" s="5">
        <v>6483.723995237001</v>
      </c>
      <c r="X27" s="5">
        <v>6385.5167831026001</v>
      </c>
      <c r="Y27" s="5">
        <v>7125</v>
      </c>
      <c r="Z27" s="5">
        <v>0</v>
      </c>
      <c r="AA27" s="5">
        <v>9191.0779999999977</v>
      </c>
      <c r="AB27" s="5">
        <v>-1431.8669999999997</v>
      </c>
      <c r="AC27" s="5">
        <v>0</v>
      </c>
      <c r="AD27" s="5" t="s">
        <v>98</v>
      </c>
      <c r="AE27" s="5">
        <v>0</v>
      </c>
      <c r="AF27" s="5"/>
      <c r="AG27" s="5"/>
      <c r="AH27" s="5"/>
      <c r="AI27" s="5">
        <v>14884.210999999998</v>
      </c>
      <c r="AJ27" s="5"/>
      <c r="AK27" s="5"/>
      <c r="AL27" s="5"/>
      <c r="AM27" s="5"/>
      <c r="AN27" s="85"/>
      <c r="AO27" s="5"/>
      <c r="AP27" s="5"/>
      <c r="AQ27" s="5"/>
      <c r="AR27" s="5"/>
      <c r="AS27" s="5"/>
      <c r="AT27" s="5"/>
      <c r="AU27" s="5"/>
      <c r="AV27" s="5"/>
    </row>
    <row r="28" spans="1:48" ht="12" customHeight="1" x14ac:dyDescent="0.2">
      <c r="A28" s="75">
        <v>40087</v>
      </c>
      <c r="B28" s="5">
        <v>6488</v>
      </c>
      <c r="C28" s="5">
        <v>928.7873242900007</v>
      </c>
      <c r="D28" s="5">
        <v>-61.799839970000065</v>
      </c>
      <c r="E28" s="5">
        <v>-1031.808</v>
      </c>
      <c r="F28" s="5">
        <v>0</v>
      </c>
      <c r="G28" s="5">
        <v>-1186.038</v>
      </c>
      <c r="H28" s="5">
        <v>2000</v>
      </c>
      <c r="I28" s="5">
        <v>0</v>
      </c>
      <c r="J28" s="5">
        <v>-11.375</v>
      </c>
      <c r="K28" s="5">
        <v>7125.76648432</v>
      </c>
      <c r="L28" s="5">
        <v>-279.46800000000007</v>
      </c>
      <c r="M28" s="5">
        <v>0</v>
      </c>
      <c r="N28" s="5">
        <v>172.2839999999992</v>
      </c>
      <c r="O28" s="5">
        <v>103.22721514</v>
      </c>
      <c r="P28" s="5">
        <v>0</v>
      </c>
      <c r="Q28" s="5" t="s">
        <v>98</v>
      </c>
      <c r="R28" s="5">
        <v>-41.772999999999996</v>
      </c>
      <c r="S28" s="5"/>
      <c r="T28" s="5"/>
      <c r="U28" s="5"/>
      <c r="V28" s="5">
        <v>-45.729784860000876</v>
      </c>
      <c r="W28" s="5">
        <v>7080.036699459999</v>
      </c>
      <c r="X28" s="5">
        <v>7273.1873216163331</v>
      </c>
      <c r="Y28" s="5">
        <v>6850</v>
      </c>
      <c r="Z28" s="5">
        <v>0</v>
      </c>
      <c r="AA28" s="5">
        <v>9367.3799999999974</v>
      </c>
      <c r="AB28" s="5">
        <v>-1328.6397848599997</v>
      </c>
      <c r="AC28" s="5">
        <v>0</v>
      </c>
      <c r="AD28" s="5" t="s">
        <v>98</v>
      </c>
      <c r="AE28" s="5">
        <v>-42</v>
      </c>
      <c r="AF28" s="5"/>
      <c r="AG28" s="5"/>
      <c r="AH28" s="5"/>
      <c r="AI28" s="5">
        <v>14846.740215139998</v>
      </c>
    </row>
    <row r="29" spans="1:48" ht="12" customHeight="1" x14ac:dyDescent="0.2">
      <c r="A29" s="75">
        <v>40118</v>
      </c>
      <c r="B29" s="5">
        <v>7080</v>
      </c>
      <c r="C29" s="5">
        <v>1883.6948202449985</v>
      </c>
      <c r="D29" s="5">
        <v>-63.192240549999951</v>
      </c>
      <c r="E29" s="5">
        <v>-985.47500000000002</v>
      </c>
      <c r="F29" s="5">
        <v>0</v>
      </c>
      <c r="G29" s="5">
        <v>-1188.2199999999998</v>
      </c>
      <c r="H29" s="5">
        <v>1206</v>
      </c>
      <c r="I29" s="5">
        <v>0</v>
      </c>
      <c r="J29" s="5">
        <v>-11.748999999999999</v>
      </c>
      <c r="K29" s="5">
        <v>7921.0585796949999</v>
      </c>
      <c r="L29" s="5">
        <v>-2688.5410000000002</v>
      </c>
      <c r="M29" s="5">
        <v>0.11000000000001364</v>
      </c>
      <c r="N29" s="5">
        <v>1683.3529999999998</v>
      </c>
      <c r="O29" s="5">
        <v>550</v>
      </c>
      <c r="P29" s="5">
        <v>0</v>
      </c>
      <c r="Q29" s="5" t="s">
        <v>98</v>
      </c>
      <c r="R29" s="5">
        <v>41.863000000000056</v>
      </c>
      <c r="S29" s="5"/>
      <c r="T29" s="5"/>
      <c r="U29" s="5"/>
      <c r="V29" s="5">
        <v>-413.21500000000015</v>
      </c>
      <c r="W29" s="5">
        <v>7507.8435796949998</v>
      </c>
      <c r="X29" s="5">
        <v>7556.1894786365183</v>
      </c>
      <c r="Y29" s="5">
        <v>4300</v>
      </c>
      <c r="Z29" s="5">
        <v>0</v>
      </c>
      <c r="AA29" s="5">
        <v>11079.441999999999</v>
      </c>
      <c r="AB29" s="5">
        <v>-778.63978485999974</v>
      </c>
      <c r="AC29" s="5">
        <v>0</v>
      </c>
      <c r="AD29" s="5" t="s">
        <v>98</v>
      </c>
      <c r="AE29" s="5">
        <v>0</v>
      </c>
      <c r="AF29" s="5"/>
      <c r="AG29" s="5"/>
      <c r="AH29" s="5"/>
      <c r="AI29" s="5">
        <v>14600.80221514</v>
      </c>
    </row>
    <row r="30" spans="1:48" ht="12" customHeight="1" x14ac:dyDescent="0.2">
      <c r="A30" s="75">
        <v>40148</v>
      </c>
      <c r="B30" s="5">
        <v>7508</v>
      </c>
      <c r="C30" s="5">
        <v>5100.4624944200041</v>
      </c>
      <c r="D30" s="5">
        <v>-572.76352299900009</v>
      </c>
      <c r="E30" s="5">
        <v>-626.86799999999994</v>
      </c>
      <c r="F30" s="5">
        <v>0</v>
      </c>
      <c r="G30" s="5">
        <v>-1778.4390000000001</v>
      </c>
      <c r="H30" s="5">
        <v>2000</v>
      </c>
      <c r="I30" s="5">
        <v>0</v>
      </c>
      <c r="J30" s="5">
        <v>-32.991999999999997</v>
      </c>
      <c r="K30" s="5">
        <v>11597.399971421002</v>
      </c>
      <c r="L30" s="5">
        <v>-1491.9419999999998</v>
      </c>
      <c r="M30" s="5">
        <v>0.13799999999991996</v>
      </c>
      <c r="N30" s="5">
        <v>-806.40500000000043</v>
      </c>
      <c r="O30" s="5">
        <v>-178.69500000000005</v>
      </c>
      <c r="P30" s="5">
        <v>0</v>
      </c>
      <c r="Q30" s="5" t="s">
        <v>98</v>
      </c>
      <c r="R30" s="5">
        <v>-133.238</v>
      </c>
      <c r="S30" s="5"/>
      <c r="T30" s="5"/>
      <c r="U30" s="5"/>
      <c r="V30" s="5">
        <v>-2610.1420000000003</v>
      </c>
      <c r="W30" s="5">
        <v>8987.2579714210024</v>
      </c>
      <c r="X30" s="5">
        <v>7933.8911730621921</v>
      </c>
      <c r="Y30" s="5">
        <v>2880</v>
      </c>
      <c r="Z30" s="5">
        <v>0</v>
      </c>
      <c r="AA30" s="5">
        <v>10278.866999999998</v>
      </c>
      <c r="AB30" s="5">
        <v>-957.33478485999979</v>
      </c>
      <c r="AC30" s="5">
        <v>0</v>
      </c>
      <c r="AD30" s="5" t="s">
        <v>98</v>
      </c>
      <c r="AE30" s="5">
        <v>-133.24</v>
      </c>
      <c r="AF30" s="5"/>
      <c r="AG30" s="5"/>
      <c r="AH30" s="5"/>
      <c r="AI30" s="5">
        <v>12068.292215139998</v>
      </c>
    </row>
    <row r="31" spans="1:48" s="81" customFormat="1" ht="12" customHeight="1" x14ac:dyDescent="0.2">
      <c r="A31" s="75">
        <v>40179</v>
      </c>
      <c r="B31" s="5">
        <v>8987</v>
      </c>
      <c r="C31" s="5">
        <v>-3574.9312137399988</v>
      </c>
      <c r="D31" s="5">
        <v>411.20603072589995</v>
      </c>
      <c r="E31" s="5">
        <v>-730.51600000000008</v>
      </c>
      <c r="F31" s="5">
        <v>0</v>
      </c>
      <c r="G31" s="5">
        <v>-1284.915</v>
      </c>
      <c r="H31" s="5">
        <v>1500</v>
      </c>
      <c r="I31" s="5">
        <v>0</v>
      </c>
      <c r="J31" s="5">
        <v>-25.614999999999998</v>
      </c>
      <c r="K31" s="5">
        <v>5282.2288169859012</v>
      </c>
      <c r="L31" s="5">
        <v>-1389.114</v>
      </c>
      <c r="M31" s="5">
        <v>7.2999999999865395E-2</v>
      </c>
      <c r="N31" s="5">
        <v>2569.7579999999998</v>
      </c>
      <c r="O31" s="5">
        <v>1080</v>
      </c>
      <c r="P31" s="5">
        <v>0</v>
      </c>
      <c r="Q31" s="5" t="s">
        <v>98</v>
      </c>
      <c r="R31" s="5">
        <v>133.30099999999996</v>
      </c>
      <c r="S31" s="5"/>
      <c r="T31" s="5"/>
      <c r="U31" s="5"/>
      <c r="V31" s="5">
        <v>2394.0179999999996</v>
      </c>
      <c r="W31" s="5">
        <v>7677</v>
      </c>
      <c r="X31" s="5">
        <v>8046.8420244121753</v>
      </c>
      <c r="Y31" s="5">
        <v>1530</v>
      </c>
      <c r="Z31" s="5">
        <v>0</v>
      </c>
      <c r="AA31" s="5">
        <v>12855.464</v>
      </c>
      <c r="AB31" s="5">
        <v>0</v>
      </c>
      <c r="AC31" s="5">
        <v>0</v>
      </c>
      <c r="AD31" s="5" t="s">
        <v>98</v>
      </c>
      <c r="AE31" s="5">
        <v>0</v>
      </c>
      <c r="AF31" s="5"/>
      <c r="AG31" s="5"/>
      <c r="AH31" s="5"/>
      <c r="AI31" s="5">
        <v>14385.464</v>
      </c>
      <c r="AJ31" s="5"/>
      <c r="AK31" s="5"/>
      <c r="AL31" s="5"/>
      <c r="AM31" s="5"/>
      <c r="AN31" s="85"/>
      <c r="AO31" s="5"/>
      <c r="AP31" s="5"/>
      <c r="AQ31" s="5"/>
      <c r="AR31" s="5"/>
      <c r="AS31" s="5"/>
      <c r="AT31" s="5"/>
      <c r="AU31" s="5"/>
      <c r="AV31" s="5"/>
    </row>
    <row r="32" spans="1:48" ht="12" customHeight="1" x14ac:dyDescent="0.2">
      <c r="A32" s="75">
        <v>40210</v>
      </c>
      <c r="B32" s="5">
        <v>7677</v>
      </c>
      <c r="C32" s="5">
        <v>2466.4898659350015</v>
      </c>
      <c r="D32" s="5">
        <v>95.17518859000009</v>
      </c>
      <c r="E32" s="5">
        <v>-739.0089999999999</v>
      </c>
      <c r="F32" s="5">
        <v>0</v>
      </c>
      <c r="G32" s="5">
        <v>-1483.5239999999999</v>
      </c>
      <c r="H32" s="5">
        <v>1600</v>
      </c>
      <c r="I32" s="5">
        <v>0</v>
      </c>
      <c r="J32" s="5">
        <v>-265.14499999999998</v>
      </c>
      <c r="K32" s="5">
        <v>9350.9870545250014</v>
      </c>
      <c r="L32" s="5">
        <v>-533.96100000000001</v>
      </c>
      <c r="M32" s="5">
        <v>-212.28499999999985</v>
      </c>
      <c r="N32" s="5">
        <v>-811.12099999999987</v>
      </c>
      <c r="O32" s="5">
        <v>0</v>
      </c>
      <c r="P32" s="5">
        <v>0</v>
      </c>
      <c r="Q32" s="5" t="s">
        <v>98</v>
      </c>
      <c r="R32" s="5">
        <v>0</v>
      </c>
      <c r="S32" s="5"/>
      <c r="T32" s="5"/>
      <c r="U32" s="5"/>
      <c r="V32" s="5">
        <v>-1557.3669999999997</v>
      </c>
      <c r="W32" s="5">
        <v>7793.6200545250013</v>
      </c>
      <c r="X32" s="5">
        <v>7907.9664608226831</v>
      </c>
      <c r="Y32" s="5">
        <v>1000</v>
      </c>
      <c r="Z32" s="5">
        <v>-212.95</v>
      </c>
      <c r="AA32" s="5">
        <v>12049.285</v>
      </c>
      <c r="AB32" s="5">
        <v>-0.33478485999978602</v>
      </c>
      <c r="AC32" s="5">
        <v>0</v>
      </c>
      <c r="AD32" s="5" t="s">
        <v>98</v>
      </c>
      <c r="AE32" s="5">
        <v>0</v>
      </c>
      <c r="AF32" s="5"/>
      <c r="AG32" s="5"/>
      <c r="AH32" s="5"/>
      <c r="AI32" s="5">
        <v>12836.000215139999</v>
      </c>
    </row>
    <row r="33" spans="1:259" s="1" customFormat="1" ht="12" customHeight="1" x14ac:dyDescent="0.2">
      <c r="A33" s="75">
        <v>40238</v>
      </c>
      <c r="B33" s="5">
        <v>7794</v>
      </c>
      <c r="C33" s="5">
        <v>992.48884666999993</v>
      </c>
      <c r="D33" s="5">
        <v>-160.11413241000005</v>
      </c>
      <c r="E33" s="5">
        <v>-1291.067</v>
      </c>
      <c r="F33" s="5">
        <v>0</v>
      </c>
      <c r="G33" s="5">
        <v>-2276.9859999999999</v>
      </c>
      <c r="H33" s="5">
        <v>2000</v>
      </c>
      <c r="I33" s="5">
        <v>0</v>
      </c>
      <c r="J33" s="5">
        <v>-302.64800000000008</v>
      </c>
      <c r="K33" s="5">
        <v>6755.6737142599986</v>
      </c>
      <c r="L33" s="5">
        <v>30</v>
      </c>
      <c r="M33" s="5">
        <v>213.32499999999982</v>
      </c>
      <c r="N33" s="5">
        <v>-365.2969999999998</v>
      </c>
      <c r="O33" s="5">
        <v>0</v>
      </c>
      <c r="P33" s="5">
        <v>0</v>
      </c>
      <c r="Q33" s="5" t="s">
        <v>98</v>
      </c>
      <c r="R33" s="5">
        <v>-16.85499999999999</v>
      </c>
      <c r="S33" s="5"/>
      <c r="T33" s="5"/>
      <c r="U33" s="5"/>
      <c r="V33" s="5">
        <v>-138.82699999999997</v>
      </c>
      <c r="W33" s="5">
        <v>6616.8467142599984</v>
      </c>
      <c r="X33" s="5">
        <v>7752.1220661225088</v>
      </c>
      <c r="Y33" s="5">
        <v>1030</v>
      </c>
      <c r="Z33" s="5">
        <v>0</v>
      </c>
      <c r="AA33" s="5">
        <v>11693.769999999999</v>
      </c>
      <c r="AB33" s="5">
        <v>-0.33478485999978602</v>
      </c>
      <c r="AC33" s="5">
        <v>0</v>
      </c>
      <c r="AD33" s="5" t="s">
        <v>98</v>
      </c>
      <c r="AE33" s="5">
        <v>-16.86</v>
      </c>
      <c r="AF33" s="5"/>
      <c r="AG33" s="5"/>
      <c r="AH33" s="5"/>
      <c r="AI33" s="5">
        <v>12706.575215139997</v>
      </c>
      <c r="AJ33" s="5"/>
      <c r="AK33" s="5"/>
      <c r="AL33" s="5"/>
      <c r="AM33" s="5"/>
      <c r="AN33" s="85"/>
      <c r="AO33" s="5"/>
      <c r="AP33" s="5"/>
      <c r="AQ33" s="5"/>
      <c r="AR33" s="5"/>
      <c r="AS33" s="5"/>
      <c r="AT33" s="5"/>
      <c r="AU33" s="5"/>
      <c r="AV33" s="5"/>
    </row>
    <row r="34" spans="1:259" s="1" customFormat="1" ht="12" customHeight="1" x14ac:dyDescent="0.2">
      <c r="A34" s="75">
        <v>40269</v>
      </c>
      <c r="B34" s="5">
        <v>6617</v>
      </c>
      <c r="C34" s="5">
        <v>2948.0219747799965</v>
      </c>
      <c r="D34" s="5">
        <v>219.44772036999993</v>
      </c>
      <c r="E34" s="5">
        <v>-923.90800000000002</v>
      </c>
      <c r="F34" s="5">
        <v>0</v>
      </c>
      <c r="G34" s="5">
        <v>-1583.9390000000001</v>
      </c>
      <c r="H34" s="5">
        <v>1400</v>
      </c>
      <c r="I34" s="5">
        <v>0</v>
      </c>
      <c r="J34" s="5">
        <v>-31.660249999999998</v>
      </c>
      <c r="K34" s="5">
        <v>8644.9624451499967</v>
      </c>
      <c r="L34" s="5">
        <v>-1054.5539999999999</v>
      </c>
      <c r="M34" s="5">
        <v>-214.06899999999996</v>
      </c>
      <c r="N34" s="5">
        <v>99.852000000000089</v>
      </c>
      <c r="O34" s="5">
        <v>0</v>
      </c>
      <c r="P34" s="5">
        <v>0</v>
      </c>
      <c r="Q34" s="5" t="s">
        <v>98</v>
      </c>
      <c r="R34" s="5">
        <v>16.882999999999981</v>
      </c>
      <c r="S34" s="5"/>
      <c r="T34" s="5"/>
      <c r="U34" s="5"/>
      <c r="V34" s="5">
        <v>-1151.8879999999997</v>
      </c>
      <c r="W34" s="5">
        <v>7494</v>
      </c>
      <c r="X34" s="5">
        <v>7516.308761811566</v>
      </c>
      <c r="Y34" s="5">
        <v>0</v>
      </c>
      <c r="Z34" s="5">
        <v>-214.14</v>
      </c>
      <c r="AA34" s="5">
        <v>11801.998999999998</v>
      </c>
      <c r="AB34" s="5">
        <v>-0.33478485999978602</v>
      </c>
      <c r="AC34" s="5">
        <v>0</v>
      </c>
      <c r="AD34" s="5" t="s">
        <v>98</v>
      </c>
      <c r="AE34" s="5">
        <v>0</v>
      </c>
      <c r="AF34" s="5"/>
      <c r="AG34" s="5"/>
      <c r="AH34" s="5"/>
      <c r="AI34" s="5">
        <v>11587.524215139998</v>
      </c>
      <c r="AJ34" s="5"/>
      <c r="AK34" s="5"/>
      <c r="AL34" s="5"/>
      <c r="AM34" s="5"/>
      <c r="AN34" s="85"/>
      <c r="AO34" s="5"/>
      <c r="AP34" s="5"/>
      <c r="AQ34" s="5"/>
      <c r="AR34" s="5"/>
      <c r="AS34" s="5"/>
      <c r="AT34" s="5"/>
      <c r="AU34" s="5"/>
      <c r="AV34" s="5"/>
    </row>
    <row r="35" spans="1:259" s="1" customFormat="1" ht="12" customHeight="1" x14ac:dyDescent="0.2">
      <c r="A35" s="75">
        <v>40299</v>
      </c>
      <c r="B35" s="5">
        <v>7494</v>
      </c>
      <c r="C35" s="5">
        <v>-1848.6608364749975</v>
      </c>
      <c r="D35" s="5">
        <v>24.0980660899999</v>
      </c>
      <c r="E35" s="5">
        <v>-715.37599999999998</v>
      </c>
      <c r="F35" s="5">
        <v>0</v>
      </c>
      <c r="G35" s="5">
        <v>-1270.636</v>
      </c>
      <c r="H35" s="5">
        <v>1250</v>
      </c>
      <c r="I35" s="5">
        <v>0</v>
      </c>
      <c r="J35" s="5">
        <v>-217.90700000000001</v>
      </c>
      <c r="K35" s="5">
        <v>4715.5182296150024</v>
      </c>
      <c r="L35" s="5">
        <v>499.56899999999996</v>
      </c>
      <c r="M35" s="5">
        <v>214.46100000000001</v>
      </c>
      <c r="N35" s="5">
        <v>2430.2669999999998</v>
      </c>
      <c r="O35" s="5">
        <v>0</v>
      </c>
      <c r="P35" s="5">
        <v>0</v>
      </c>
      <c r="Q35" s="5" t="s">
        <v>98</v>
      </c>
      <c r="R35" s="5">
        <v>3.0000000000001137E-3</v>
      </c>
      <c r="S35" s="5"/>
      <c r="T35" s="5"/>
      <c r="U35" s="5"/>
      <c r="V35" s="5">
        <v>3144.2999999999997</v>
      </c>
      <c r="W35" s="5">
        <v>7859.8182296150026</v>
      </c>
      <c r="X35" s="5">
        <v>7517.2570387883397</v>
      </c>
      <c r="Y35" s="5">
        <v>500</v>
      </c>
      <c r="Z35" s="5">
        <v>0</v>
      </c>
      <c r="AA35" s="5">
        <v>14240.171999999999</v>
      </c>
      <c r="AB35" s="5">
        <v>-0.33478485999978602</v>
      </c>
      <c r="AC35" s="5">
        <v>0</v>
      </c>
      <c r="AD35" s="5" t="s">
        <v>98</v>
      </c>
      <c r="AE35" s="5">
        <v>0</v>
      </c>
      <c r="AF35" s="5"/>
      <c r="AG35" s="5"/>
      <c r="AH35" s="5"/>
      <c r="AI35" s="5">
        <v>14739.837215139998</v>
      </c>
      <c r="AJ35" s="5"/>
      <c r="AK35" s="5"/>
      <c r="AL35" s="5"/>
      <c r="AM35" s="5"/>
      <c r="AN35" s="85"/>
      <c r="AO35" s="5"/>
      <c r="AP35" s="5"/>
      <c r="AQ35" s="5"/>
      <c r="AR35" s="5"/>
      <c r="AS35" s="5"/>
      <c r="AT35" s="5"/>
      <c r="AU35" s="5"/>
      <c r="AV35" s="5"/>
    </row>
    <row r="36" spans="1:259" s="1" customFormat="1" ht="12" customHeight="1" x14ac:dyDescent="0.2">
      <c r="A36" s="75">
        <v>40330</v>
      </c>
      <c r="B36" s="5">
        <v>7860</v>
      </c>
      <c r="C36" s="5">
        <v>-228.2658365800005</v>
      </c>
      <c r="D36" s="5">
        <v>1.3852913699999974</v>
      </c>
      <c r="E36" s="5">
        <v>-967.375</v>
      </c>
      <c r="F36" s="5">
        <v>0</v>
      </c>
      <c r="G36" s="5">
        <v>-1678.4849999999999</v>
      </c>
      <c r="H36" s="5">
        <v>2300</v>
      </c>
      <c r="I36" s="5">
        <v>0</v>
      </c>
      <c r="J36" s="5">
        <v>-62.829000000000008</v>
      </c>
      <c r="K36" s="5">
        <v>7224.4304547900001</v>
      </c>
      <c r="L36" s="5">
        <v>-300.67999999999995</v>
      </c>
      <c r="M36" s="5">
        <v>0.24800000000016098</v>
      </c>
      <c r="N36" s="5">
        <v>-23.979999999998654</v>
      </c>
      <c r="O36" s="5">
        <v>0</v>
      </c>
      <c r="P36" s="5">
        <v>0</v>
      </c>
      <c r="Q36" s="5" t="s">
        <v>98</v>
      </c>
      <c r="R36" s="5">
        <v>0</v>
      </c>
      <c r="S36" s="5"/>
      <c r="T36" s="5"/>
      <c r="U36" s="5"/>
      <c r="V36" s="5">
        <v>-324.41199999999844</v>
      </c>
      <c r="W36" s="5">
        <v>6900.0184547900017</v>
      </c>
      <c r="X36" s="5">
        <v>7874.8841359573325</v>
      </c>
      <c r="Y36" s="5">
        <v>200</v>
      </c>
      <c r="Z36" s="5">
        <v>0</v>
      </c>
      <c r="AA36" s="5">
        <v>14238.86</v>
      </c>
      <c r="AB36" s="5">
        <v>-0.33478485999978602</v>
      </c>
      <c r="AC36" s="5">
        <v>0</v>
      </c>
      <c r="AD36" s="5" t="s">
        <v>98</v>
      </c>
      <c r="AE36" s="5">
        <v>0</v>
      </c>
      <c r="AF36" s="5"/>
      <c r="AG36" s="5"/>
      <c r="AH36" s="5"/>
      <c r="AI36" s="5">
        <v>14438.52521514</v>
      </c>
      <c r="AJ36" s="5"/>
      <c r="AK36" s="5"/>
      <c r="AL36" s="5"/>
      <c r="AM36" s="5"/>
      <c r="AN36" s="85"/>
      <c r="AO36" s="5"/>
      <c r="AP36" s="5"/>
      <c r="AQ36" s="5"/>
      <c r="AR36" s="5"/>
      <c r="AS36" s="5"/>
      <c r="AT36" s="5"/>
      <c r="AU36" s="5"/>
      <c r="AV36" s="5"/>
    </row>
    <row r="37" spans="1:259" s="1" customFormat="1" ht="12" customHeight="1" x14ac:dyDescent="0.2">
      <c r="A37" s="75">
        <v>40360</v>
      </c>
      <c r="B37" s="5">
        <v>6900</v>
      </c>
      <c r="C37" s="5">
        <v>3314.2226845400005</v>
      </c>
      <c r="D37" s="5">
        <v>-1.3958358600000045</v>
      </c>
      <c r="E37" s="5">
        <v>-1051.903</v>
      </c>
      <c r="F37" s="5">
        <v>0</v>
      </c>
      <c r="G37" s="5">
        <v>-1423.0149999999999</v>
      </c>
      <c r="H37" s="5">
        <v>1400</v>
      </c>
      <c r="I37" s="5">
        <v>0</v>
      </c>
      <c r="J37" s="5">
        <v>-40.731000000000002</v>
      </c>
      <c r="K37" s="5">
        <v>9097.1778486800013</v>
      </c>
      <c r="L37" s="5">
        <v>99.840999999999994</v>
      </c>
      <c r="M37" s="5">
        <v>1.7600000000002183</v>
      </c>
      <c r="N37" s="5">
        <v>-2538.5130000000013</v>
      </c>
      <c r="O37" s="5">
        <v>0</v>
      </c>
      <c r="P37" s="5">
        <v>0</v>
      </c>
      <c r="Q37" s="5" t="s">
        <v>98</v>
      </c>
      <c r="R37" s="5">
        <v>0</v>
      </c>
      <c r="S37" s="5"/>
      <c r="T37" s="5"/>
      <c r="U37" s="5"/>
      <c r="V37" s="5">
        <v>-2436.9120000000012</v>
      </c>
      <c r="W37" s="5">
        <v>6660.2658486800001</v>
      </c>
      <c r="X37" s="5">
        <v>7325.2539092316683</v>
      </c>
      <c r="Y37" s="5">
        <v>300</v>
      </c>
      <c r="Z37" s="5">
        <v>0</v>
      </c>
      <c r="AA37" s="5">
        <v>11710.400000000001</v>
      </c>
      <c r="AB37" s="5">
        <v>0</v>
      </c>
      <c r="AC37" s="5">
        <v>0</v>
      </c>
      <c r="AD37" s="5" t="s">
        <v>98</v>
      </c>
      <c r="AE37" s="5">
        <v>0</v>
      </c>
      <c r="AF37" s="5"/>
      <c r="AG37" s="5"/>
      <c r="AH37" s="5"/>
      <c r="AI37" s="5">
        <v>12010.400000000001</v>
      </c>
      <c r="AJ37" s="5"/>
      <c r="AK37" s="5"/>
      <c r="AL37" s="5"/>
      <c r="AM37" s="5"/>
      <c r="AN37" s="8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15"/>
      <c r="BL37" s="5"/>
      <c r="BM37" s="5"/>
      <c r="BN37" s="7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15"/>
      <c r="CN37" s="5"/>
      <c r="CO37" s="5"/>
      <c r="CP37" s="7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15"/>
      <c r="DP37" s="5"/>
      <c r="DQ37" s="5"/>
      <c r="DR37" s="7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15"/>
      <c r="ER37" s="5"/>
      <c r="ES37" s="5"/>
      <c r="ET37" s="7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15"/>
      <c r="FT37" s="5"/>
      <c r="FU37" s="5"/>
      <c r="FV37" s="7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15"/>
      <c r="GV37" s="5"/>
      <c r="GW37" s="5"/>
      <c r="GX37" s="7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15"/>
      <c r="HX37" s="5"/>
      <c r="HY37" s="5"/>
      <c r="HZ37" s="7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15"/>
    </row>
    <row r="38" spans="1:259" s="1" customFormat="1" ht="12" customHeight="1" x14ac:dyDescent="0.2">
      <c r="A38" s="75">
        <v>40391</v>
      </c>
      <c r="B38" s="5">
        <v>6660</v>
      </c>
      <c r="C38" s="5">
        <v>1039.4169615299991</v>
      </c>
      <c r="D38" s="5">
        <v>-20.490497629999997</v>
      </c>
      <c r="E38" s="5">
        <v>-1610.857</v>
      </c>
      <c r="F38" s="5">
        <v>0</v>
      </c>
      <c r="G38" s="5">
        <v>-1324.2759999999998</v>
      </c>
      <c r="H38" s="5">
        <v>1540</v>
      </c>
      <c r="I38" s="5">
        <v>0</v>
      </c>
      <c r="J38" s="5">
        <v>-40.722000000000001</v>
      </c>
      <c r="K38" s="5">
        <v>6243.0714638999989</v>
      </c>
      <c r="L38" s="5">
        <v>499.9581</v>
      </c>
      <c r="M38" s="5">
        <v>8.0000000000026716E-3</v>
      </c>
      <c r="N38" s="5">
        <v>1250.2129999999997</v>
      </c>
      <c r="O38" s="5">
        <v>0</v>
      </c>
      <c r="P38" s="5">
        <v>0</v>
      </c>
      <c r="Q38" s="5" t="s">
        <v>98</v>
      </c>
      <c r="R38" s="5">
        <v>0</v>
      </c>
      <c r="S38" s="5"/>
      <c r="T38" s="5"/>
      <c r="U38" s="5"/>
      <c r="V38" s="5">
        <v>1750.1790999999998</v>
      </c>
      <c r="W38" s="5">
        <v>7993.2505638999992</v>
      </c>
      <c r="X38" s="5">
        <v>7677.485335125627</v>
      </c>
      <c r="Y38" s="5">
        <v>800</v>
      </c>
      <c r="Z38" s="5">
        <v>0</v>
      </c>
      <c r="AA38" s="5">
        <v>12977.056999999999</v>
      </c>
      <c r="AB38" s="5">
        <v>0</v>
      </c>
      <c r="AC38" s="5">
        <v>0</v>
      </c>
      <c r="AD38" s="5" t="s">
        <v>98</v>
      </c>
      <c r="AE38" s="5">
        <v>0</v>
      </c>
      <c r="AF38" s="5"/>
      <c r="AG38" s="5"/>
      <c r="AH38" s="5"/>
      <c r="AI38" s="5">
        <v>13777.056999999999</v>
      </c>
      <c r="AJ38" s="5"/>
      <c r="AK38" s="5"/>
      <c r="AL38" s="5"/>
      <c r="AM38" s="5"/>
      <c r="AN38" s="8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15"/>
      <c r="BL38" s="5"/>
      <c r="BM38" s="5"/>
      <c r="BN38" s="7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15"/>
      <c r="CN38" s="5"/>
      <c r="CO38" s="5"/>
      <c r="CP38" s="7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15"/>
      <c r="DP38" s="5"/>
      <c r="DQ38" s="5"/>
      <c r="DR38" s="7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15"/>
      <c r="ER38" s="5"/>
      <c r="ES38" s="5"/>
      <c r="ET38" s="7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15"/>
      <c r="FT38" s="5"/>
      <c r="FU38" s="5"/>
      <c r="FV38" s="7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15"/>
      <c r="GV38" s="5"/>
      <c r="GW38" s="5"/>
      <c r="GX38" s="7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15"/>
      <c r="HX38" s="5"/>
      <c r="HY38" s="5"/>
      <c r="HZ38" s="7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15"/>
    </row>
    <row r="39" spans="1:259" s="1" customFormat="1" ht="12" customHeight="1" x14ac:dyDescent="0.2">
      <c r="A39" s="75">
        <v>40422</v>
      </c>
      <c r="B39" s="5">
        <v>7993</v>
      </c>
      <c r="C39" s="5">
        <v>980.0081249599998</v>
      </c>
      <c r="D39" s="5">
        <v>-29.835731400000029</v>
      </c>
      <c r="E39" s="5">
        <v>-1701.8460000000002</v>
      </c>
      <c r="F39" s="5">
        <v>0</v>
      </c>
      <c r="G39" s="5">
        <v>-1631.9829999999999</v>
      </c>
      <c r="H39" s="5">
        <v>2200</v>
      </c>
      <c r="I39" s="5">
        <v>0</v>
      </c>
      <c r="J39" s="5">
        <v>-38.644000000000013</v>
      </c>
      <c r="K39" s="5">
        <v>7770.6993935599994</v>
      </c>
      <c r="L39" s="5">
        <v>-512.21699999999987</v>
      </c>
      <c r="M39" s="5">
        <v>0.80600000000004002</v>
      </c>
      <c r="N39" s="5">
        <v>-0.90499999999997272</v>
      </c>
      <c r="O39" s="5">
        <v>0</v>
      </c>
      <c r="P39" s="5">
        <v>0</v>
      </c>
      <c r="Q39" s="5" t="s">
        <v>98</v>
      </c>
      <c r="R39" s="5">
        <v>0</v>
      </c>
      <c r="S39" s="5"/>
      <c r="T39" s="5"/>
      <c r="U39" s="5"/>
      <c r="V39" s="5">
        <v>-512.3159999999998</v>
      </c>
      <c r="W39" s="5">
        <v>7258.8833935599996</v>
      </c>
      <c r="X39" s="5">
        <v>7434.0213426296687</v>
      </c>
      <c r="Y39" s="5">
        <v>290</v>
      </c>
      <c r="Z39" s="5">
        <v>0</v>
      </c>
      <c r="AA39" s="5">
        <v>12982.68</v>
      </c>
      <c r="AB39" s="5">
        <v>0</v>
      </c>
      <c r="AC39" s="5">
        <v>0</v>
      </c>
      <c r="AD39" s="5" t="s">
        <v>98</v>
      </c>
      <c r="AE39" s="5">
        <v>0</v>
      </c>
      <c r="AF39" s="5"/>
      <c r="AG39" s="5"/>
      <c r="AH39" s="5"/>
      <c r="AI39" s="5">
        <v>13272.68</v>
      </c>
      <c r="AJ39" s="5"/>
      <c r="AK39" s="5"/>
      <c r="AL39" s="5"/>
      <c r="AM39" s="5"/>
      <c r="AN39" s="85"/>
      <c r="AO39" s="5"/>
      <c r="AP39" s="5"/>
      <c r="AQ39" s="5"/>
      <c r="AR39" s="5"/>
      <c r="AS39" s="5"/>
      <c r="AT39" s="5"/>
      <c r="AU39" s="5"/>
      <c r="AV39" s="5"/>
    </row>
    <row r="40" spans="1:259" s="1" customFormat="1" ht="12" customHeight="1" x14ac:dyDescent="0.2">
      <c r="A40" s="75">
        <v>40452</v>
      </c>
      <c r="B40" s="5">
        <v>7259</v>
      </c>
      <c r="C40" s="5">
        <v>2510.0536994299996</v>
      </c>
      <c r="D40" s="5">
        <v>-70.851489419999993</v>
      </c>
      <c r="E40" s="5">
        <v>-1338.7</v>
      </c>
      <c r="F40" s="5">
        <v>0</v>
      </c>
      <c r="G40" s="5">
        <v>-1428.3130000000001</v>
      </c>
      <c r="H40" s="5">
        <v>1150</v>
      </c>
      <c r="I40" s="5">
        <v>0</v>
      </c>
      <c r="J40" s="5">
        <v>-25.229999999999993</v>
      </c>
      <c r="K40" s="5">
        <v>8055.9592100099999</v>
      </c>
      <c r="L40" s="5">
        <v>39.375999999999976</v>
      </c>
      <c r="M40" s="5">
        <v>0.42300000000022919</v>
      </c>
      <c r="N40" s="5">
        <v>-1678.6500000000003</v>
      </c>
      <c r="O40" s="5">
        <v>0</v>
      </c>
      <c r="P40" s="5">
        <v>-1.9999999999988916E-3</v>
      </c>
      <c r="Q40" s="5" t="s">
        <v>98</v>
      </c>
      <c r="R40" s="5">
        <v>0</v>
      </c>
      <c r="S40" s="5"/>
      <c r="T40" s="5"/>
      <c r="U40" s="5"/>
      <c r="V40" s="5">
        <v>-1638.8530000000001</v>
      </c>
      <c r="W40" s="5">
        <v>6417.1062100099998</v>
      </c>
      <c r="X40" s="5">
        <v>7236.9409900772607</v>
      </c>
      <c r="Y40" s="5">
        <v>330</v>
      </c>
      <c r="Z40" s="5">
        <v>0</v>
      </c>
      <c r="AA40" s="5">
        <v>11315.477999999999</v>
      </c>
      <c r="AB40" s="5">
        <v>0</v>
      </c>
      <c r="AC40" s="5">
        <v>0</v>
      </c>
      <c r="AD40" s="5" t="s">
        <v>98</v>
      </c>
      <c r="AE40" s="5">
        <v>0</v>
      </c>
      <c r="AF40" s="5"/>
      <c r="AG40" s="5"/>
      <c r="AH40" s="5"/>
      <c r="AI40" s="5">
        <v>11645.477999999999</v>
      </c>
      <c r="AJ40" s="5"/>
      <c r="AK40" s="5"/>
      <c r="AL40" s="5"/>
      <c r="AM40" s="5"/>
      <c r="AN40" s="85"/>
      <c r="AO40" s="5"/>
      <c r="AP40" s="5"/>
      <c r="AQ40" s="5"/>
      <c r="AR40" s="5"/>
      <c r="AS40" s="5"/>
      <c r="AT40" s="5"/>
      <c r="AU40" s="5"/>
      <c r="AV40" s="5"/>
    </row>
    <row r="41" spans="1:259" s="1" customFormat="1" ht="12" customHeight="1" x14ac:dyDescent="0.2">
      <c r="A41" s="75">
        <v>40483</v>
      </c>
      <c r="B41" s="5">
        <v>6417</v>
      </c>
      <c r="C41" s="5">
        <v>2054.3444588200009</v>
      </c>
      <c r="D41" s="5">
        <v>-8.3759439600000078</v>
      </c>
      <c r="E41" s="5">
        <v>-1551.664</v>
      </c>
      <c r="F41" s="5">
        <v>0</v>
      </c>
      <c r="G41" s="5">
        <v>-1231.528</v>
      </c>
      <c r="H41" s="5">
        <v>650</v>
      </c>
      <c r="I41" s="5">
        <v>0</v>
      </c>
      <c r="J41" s="5">
        <v>-32.744999999999997</v>
      </c>
      <c r="K41" s="5">
        <v>6297.0315148600002</v>
      </c>
      <c r="L41" s="5">
        <v>210.73070000000001</v>
      </c>
      <c r="M41" s="5">
        <v>0.25400000000013279</v>
      </c>
      <c r="N41" s="5">
        <v>849.49099999999999</v>
      </c>
      <c r="O41" s="5">
        <v>0</v>
      </c>
      <c r="P41" s="5">
        <v>0</v>
      </c>
      <c r="Q41" s="5" t="s">
        <v>98</v>
      </c>
      <c r="R41" s="5">
        <v>6.0000000000002274E-3</v>
      </c>
      <c r="S41" s="5"/>
      <c r="T41" s="5"/>
      <c r="U41" s="5"/>
      <c r="V41" s="5">
        <v>1060.4817000000003</v>
      </c>
      <c r="W41" s="5">
        <v>7357.5132148600005</v>
      </c>
      <c r="X41" s="5">
        <v>7234.0226064979997</v>
      </c>
      <c r="Y41" s="5">
        <v>541</v>
      </c>
      <c r="Z41" s="5">
        <v>0</v>
      </c>
      <c r="AA41" s="5">
        <v>12204.674999999999</v>
      </c>
      <c r="AB41" s="5">
        <v>0</v>
      </c>
      <c r="AC41" s="5">
        <v>0</v>
      </c>
      <c r="AD41" s="5" t="s">
        <v>98</v>
      </c>
      <c r="AE41" s="5">
        <v>0</v>
      </c>
      <c r="AF41" s="5"/>
      <c r="AG41" s="5"/>
      <c r="AH41" s="5"/>
      <c r="AI41" s="5">
        <v>12745.674999999999</v>
      </c>
      <c r="AJ41" s="5"/>
      <c r="AK41" s="5"/>
      <c r="AL41" s="5"/>
      <c r="AM41" s="5"/>
      <c r="AN41" s="85"/>
      <c r="AO41" s="5"/>
      <c r="AP41" s="5"/>
      <c r="AQ41" s="5"/>
      <c r="AR41" s="5"/>
      <c r="AS41" s="5"/>
      <c r="AT41" s="5"/>
      <c r="AU41" s="5"/>
      <c r="AV41" s="5"/>
    </row>
    <row r="42" spans="1:259" s="1" customFormat="1" ht="12" customHeight="1" x14ac:dyDescent="0.2">
      <c r="A42" s="75">
        <v>40513</v>
      </c>
      <c r="B42" s="5">
        <v>7358</v>
      </c>
      <c r="C42" s="5">
        <v>3547.7105856900002</v>
      </c>
      <c r="D42" s="5">
        <v>-497.66129024999998</v>
      </c>
      <c r="E42" s="5">
        <v>-1505.9580000000001</v>
      </c>
      <c r="F42" s="5">
        <v>0</v>
      </c>
      <c r="G42" s="5">
        <v>-1283.2190000000001</v>
      </c>
      <c r="H42" s="5">
        <v>1244</v>
      </c>
      <c r="I42" s="5">
        <v>0</v>
      </c>
      <c r="J42" s="5">
        <v>-35.129999999999995</v>
      </c>
      <c r="K42" s="5">
        <v>8827.7422954400008</v>
      </c>
      <c r="L42" s="5">
        <v>-542.59099999999989</v>
      </c>
      <c r="M42" s="5">
        <v>-417.56</v>
      </c>
      <c r="N42" s="5">
        <v>-98.130000000000564</v>
      </c>
      <c r="O42" s="5">
        <v>0</v>
      </c>
      <c r="P42" s="5">
        <v>0</v>
      </c>
      <c r="Q42" s="5" t="s">
        <v>98</v>
      </c>
      <c r="R42" s="5">
        <v>0</v>
      </c>
      <c r="S42" s="5"/>
      <c r="T42" s="5"/>
      <c r="U42" s="5"/>
      <c r="V42" s="5">
        <v>-1058.2810000000004</v>
      </c>
      <c r="W42" s="5">
        <v>7769.46129544</v>
      </c>
      <c r="X42" s="5">
        <v>7523.3876586559682</v>
      </c>
      <c r="Y42" s="5">
        <v>0</v>
      </c>
      <c r="Z42" s="5">
        <v>-418</v>
      </c>
      <c r="AA42" s="5">
        <v>12120.097</v>
      </c>
      <c r="AB42" s="5">
        <v>0</v>
      </c>
      <c r="AC42" s="5">
        <v>0</v>
      </c>
      <c r="AD42" s="5" t="s">
        <v>98</v>
      </c>
      <c r="AE42" s="5">
        <v>0</v>
      </c>
      <c r="AF42" s="5"/>
      <c r="AG42" s="5"/>
      <c r="AH42" s="5"/>
      <c r="AI42" s="5">
        <v>11702.097</v>
      </c>
      <c r="AJ42" s="5"/>
      <c r="AK42" s="5"/>
      <c r="AL42" s="5"/>
      <c r="AM42" s="5"/>
      <c r="AN42" s="85"/>
      <c r="AO42" s="5"/>
      <c r="AP42" s="5"/>
      <c r="AQ42" s="5"/>
      <c r="AR42" s="5"/>
      <c r="AS42" s="5"/>
      <c r="AT42" s="5"/>
      <c r="AU42" s="5"/>
      <c r="AV42" s="5"/>
    </row>
    <row r="43" spans="1:259" ht="12" customHeight="1" x14ac:dyDescent="0.2">
      <c r="A43" s="75">
        <v>40544</v>
      </c>
      <c r="B43" s="5">
        <v>7769</v>
      </c>
      <c r="C43" s="5">
        <v>-3219.7685200799992</v>
      </c>
      <c r="D43" s="5">
        <v>308.43681135000003</v>
      </c>
      <c r="E43" s="5">
        <v>-1187.4099999999999</v>
      </c>
      <c r="F43" s="5">
        <v>0</v>
      </c>
      <c r="G43" s="5">
        <v>-1035.162</v>
      </c>
      <c r="H43" s="5">
        <v>1425</v>
      </c>
      <c r="I43" s="5">
        <v>0</v>
      </c>
      <c r="J43" s="5">
        <v>-21.986000000000001</v>
      </c>
      <c r="K43" s="5">
        <v>4038.1102912700017</v>
      </c>
      <c r="L43" s="5">
        <v>0</v>
      </c>
      <c r="M43" s="5">
        <v>418.28800000000001</v>
      </c>
      <c r="N43" s="5">
        <v>2440.7959999999998</v>
      </c>
      <c r="O43" s="5">
        <v>0</v>
      </c>
      <c r="P43" s="5">
        <v>0</v>
      </c>
      <c r="Q43" s="5" t="s">
        <v>98</v>
      </c>
      <c r="R43" s="5">
        <v>0</v>
      </c>
      <c r="S43" s="5"/>
      <c r="T43" s="5"/>
      <c r="U43" s="5"/>
      <c r="V43" s="5">
        <v>2859.0839999999998</v>
      </c>
      <c r="W43" s="5">
        <v>6897.1942912700015</v>
      </c>
      <c r="X43" s="5">
        <v>7295.5213015970203</v>
      </c>
      <c r="Y43" s="5">
        <v>0</v>
      </c>
      <c r="Z43" s="5">
        <v>0</v>
      </c>
      <c r="AA43" s="5">
        <v>14566.879999999997</v>
      </c>
      <c r="AB43" s="5">
        <v>0</v>
      </c>
      <c r="AC43" s="5">
        <v>0</v>
      </c>
      <c r="AD43" s="5" t="s">
        <v>98</v>
      </c>
      <c r="AE43" s="5">
        <v>0</v>
      </c>
      <c r="AF43" s="5"/>
      <c r="AG43" s="5"/>
      <c r="AH43" s="5"/>
      <c r="AI43" s="5">
        <v>14566.879999999997</v>
      </c>
    </row>
    <row r="44" spans="1:259" s="9" customFormat="1" ht="12" customHeight="1" x14ac:dyDescent="0.2">
      <c r="A44" s="75">
        <v>40575</v>
      </c>
      <c r="B44" s="5">
        <v>6898</v>
      </c>
      <c r="C44" s="5">
        <v>1318.869060644997</v>
      </c>
      <c r="D44" s="5">
        <v>-54.838184340000055</v>
      </c>
      <c r="E44" s="5">
        <v>-1399.1750000000002</v>
      </c>
      <c r="F44" s="5">
        <v>0</v>
      </c>
      <c r="G44" s="5">
        <v>-1135.0500000000002</v>
      </c>
      <c r="H44" s="5">
        <v>1550</v>
      </c>
      <c r="I44" s="5">
        <v>0</v>
      </c>
      <c r="J44" s="5">
        <v>-33.372999999999998</v>
      </c>
      <c r="K44" s="5">
        <v>7144.4328763049962</v>
      </c>
      <c r="L44" s="5">
        <v>99.913000000000011</v>
      </c>
      <c r="M44" s="5">
        <v>0.25600000000008549</v>
      </c>
      <c r="N44" s="5">
        <v>-444.423</v>
      </c>
      <c r="O44" s="5">
        <v>0</v>
      </c>
      <c r="P44" s="5">
        <v>0</v>
      </c>
      <c r="Q44" s="5" t="s">
        <v>98</v>
      </c>
      <c r="R44" s="5">
        <v>0</v>
      </c>
      <c r="S44" s="5"/>
      <c r="T44" s="5"/>
      <c r="U44" s="5"/>
      <c r="V44" s="5">
        <v>-344.25399999999991</v>
      </c>
      <c r="W44" s="5">
        <v>6800.1788763049963</v>
      </c>
      <c r="X44" s="5">
        <v>7376.1844604546432</v>
      </c>
      <c r="Y44" s="5">
        <v>100.033</v>
      </c>
      <c r="Z44" s="5">
        <v>0</v>
      </c>
      <c r="AA44" s="5">
        <v>14128.218999999997</v>
      </c>
      <c r="AB44" s="5">
        <v>0</v>
      </c>
      <c r="AC44" s="5">
        <v>0</v>
      </c>
      <c r="AD44" s="5" t="s">
        <v>98</v>
      </c>
      <c r="AE44" s="5">
        <v>0</v>
      </c>
      <c r="AF44" s="5"/>
      <c r="AG44" s="5"/>
      <c r="AH44" s="5"/>
      <c r="AI44" s="5">
        <v>14228.251999999997</v>
      </c>
      <c r="AJ44" s="5"/>
      <c r="AK44" s="5"/>
      <c r="AL44" s="5"/>
      <c r="AM44" s="5"/>
      <c r="AN44" s="85"/>
      <c r="AO44" s="5"/>
      <c r="AP44" s="5"/>
      <c r="AQ44" s="5"/>
      <c r="AR44" s="5"/>
      <c r="AS44" s="5"/>
      <c r="AT44" s="5"/>
      <c r="AU44" s="5"/>
      <c r="AV44" s="5"/>
    </row>
    <row r="45" spans="1:259" ht="12" customHeight="1" x14ac:dyDescent="0.2">
      <c r="A45" s="75">
        <v>40603</v>
      </c>
      <c r="B45" s="5">
        <v>6800</v>
      </c>
      <c r="C45" s="5">
        <v>1295.3201755599987</v>
      </c>
      <c r="D45" s="5">
        <v>9.0136593699999992</v>
      </c>
      <c r="E45" s="5">
        <v>-2421.2723295800001</v>
      </c>
      <c r="F45" s="5">
        <v>0</v>
      </c>
      <c r="G45" s="5">
        <v>-1877.2180000000001</v>
      </c>
      <c r="H45" s="5">
        <v>1581</v>
      </c>
      <c r="I45" s="5">
        <v>0</v>
      </c>
      <c r="J45" s="5">
        <v>-558.46399999999994</v>
      </c>
      <c r="K45" s="5">
        <v>4828.3795053499989</v>
      </c>
      <c r="L45" s="5">
        <v>29.712999999999965</v>
      </c>
      <c r="M45" s="5">
        <v>1.4000000000010004E-2</v>
      </c>
      <c r="N45" s="5">
        <v>1475.8090000000007</v>
      </c>
      <c r="O45" s="5">
        <v>0</v>
      </c>
      <c r="P45" s="5">
        <v>0</v>
      </c>
      <c r="Q45" s="5" t="s">
        <v>98</v>
      </c>
      <c r="R45" s="5">
        <v>0</v>
      </c>
      <c r="S45" s="5"/>
      <c r="T45" s="5"/>
      <c r="U45" s="5"/>
      <c r="V45" s="5">
        <v>1505.5360000000005</v>
      </c>
      <c r="W45" s="5">
        <v>6334</v>
      </c>
      <c r="X45" s="5">
        <v>7672.330072352901</v>
      </c>
      <c r="Y45" s="5">
        <v>130</v>
      </c>
      <c r="Z45" s="5">
        <v>0</v>
      </c>
      <c r="AA45" s="5">
        <v>15620.218000000001</v>
      </c>
      <c r="AB45" s="5">
        <v>0</v>
      </c>
      <c r="AC45" s="5">
        <v>0</v>
      </c>
      <c r="AD45" s="5" t="s">
        <v>98</v>
      </c>
      <c r="AE45" s="5">
        <v>0</v>
      </c>
      <c r="AF45" s="5"/>
      <c r="AG45" s="5"/>
      <c r="AH45" s="5"/>
      <c r="AI45" s="5">
        <v>15750.218000000001</v>
      </c>
    </row>
    <row r="46" spans="1:259" ht="12" customHeight="1" x14ac:dyDescent="0.2">
      <c r="A46" s="75">
        <v>40634</v>
      </c>
      <c r="B46" s="5">
        <v>6334</v>
      </c>
      <c r="C46" s="5">
        <v>2083.751041720001</v>
      </c>
      <c r="D46" s="5">
        <v>-95.170857000000012</v>
      </c>
      <c r="E46" s="5">
        <v>-2926.2239999999997</v>
      </c>
      <c r="F46" s="5">
        <v>0</v>
      </c>
      <c r="G46" s="5">
        <v>-1370.498</v>
      </c>
      <c r="H46" s="5">
        <v>875</v>
      </c>
      <c r="I46" s="5">
        <v>0</v>
      </c>
      <c r="J46" s="5">
        <v>-22.564000000000004</v>
      </c>
      <c r="K46" s="5">
        <v>4878.2941847200018</v>
      </c>
      <c r="L46" s="5">
        <v>999.36799999999994</v>
      </c>
      <c r="M46" s="5">
        <v>0</v>
      </c>
      <c r="N46" s="5">
        <v>679.87900000000081</v>
      </c>
      <c r="O46" s="5">
        <v>0</v>
      </c>
      <c r="P46" s="5">
        <v>0</v>
      </c>
      <c r="Q46" s="5" t="s">
        <v>98</v>
      </c>
      <c r="R46" s="5">
        <v>-1.0000000000047748E-3</v>
      </c>
      <c r="S46" s="5"/>
      <c r="T46" s="5"/>
      <c r="U46" s="5"/>
      <c r="V46" s="5">
        <v>1679.2460000000008</v>
      </c>
      <c r="W46" s="5">
        <v>6558</v>
      </c>
      <c r="X46" s="5">
        <v>6813.6823732106895</v>
      </c>
      <c r="Y46" s="5">
        <v>1130.729</v>
      </c>
      <c r="Z46" s="5">
        <v>0</v>
      </c>
      <c r="AA46" s="5">
        <v>16328.747000000001</v>
      </c>
      <c r="AB46" s="5">
        <v>0</v>
      </c>
      <c r="AC46" s="5">
        <v>0</v>
      </c>
      <c r="AD46" s="5" t="s">
        <v>98</v>
      </c>
      <c r="AE46" s="5">
        <v>0</v>
      </c>
      <c r="AF46" s="5"/>
      <c r="AG46" s="5"/>
      <c r="AH46" s="5"/>
      <c r="AI46" s="5">
        <v>17459.476000000002</v>
      </c>
    </row>
    <row r="47" spans="1:259" ht="12" customHeight="1" x14ac:dyDescent="0.2">
      <c r="A47" s="75">
        <v>40664</v>
      </c>
      <c r="B47" s="5">
        <v>6558</v>
      </c>
      <c r="C47" s="5">
        <v>-1561.5919968700009</v>
      </c>
      <c r="D47" s="5">
        <v>92.463237920000068</v>
      </c>
      <c r="E47" s="5">
        <v>-1944.146</v>
      </c>
      <c r="F47" s="5">
        <v>0</v>
      </c>
      <c r="G47" s="5">
        <v>-961.73326299999997</v>
      </c>
      <c r="H47" s="5">
        <v>1539</v>
      </c>
      <c r="I47" s="5">
        <v>0</v>
      </c>
      <c r="J47" s="5">
        <v>-20.228999999999999</v>
      </c>
      <c r="K47" s="5">
        <v>3701.7629780499997</v>
      </c>
      <c r="L47" s="5">
        <v>1753.2129999999997</v>
      </c>
      <c r="M47" s="5">
        <v>0</v>
      </c>
      <c r="N47" s="5">
        <v>476.93499999999949</v>
      </c>
      <c r="O47" s="5">
        <v>0</v>
      </c>
      <c r="P47" s="5">
        <v>0</v>
      </c>
      <c r="Q47" s="5" t="s">
        <v>98</v>
      </c>
      <c r="R47" s="5">
        <v>0</v>
      </c>
      <c r="S47" s="5"/>
      <c r="T47" s="5"/>
      <c r="U47" s="5"/>
      <c r="V47" s="5">
        <v>2230.1479999999992</v>
      </c>
      <c r="W47" s="5">
        <v>5931.9109780499984</v>
      </c>
      <c r="X47" s="5">
        <v>6430.2625040109388</v>
      </c>
      <c r="Y47" s="5">
        <v>2886</v>
      </c>
      <c r="Z47" s="5">
        <v>0</v>
      </c>
      <c r="AA47" s="5">
        <v>16820.426000000003</v>
      </c>
      <c r="AB47" s="5">
        <v>0</v>
      </c>
      <c r="AC47" s="5">
        <v>0</v>
      </c>
      <c r="AD47" s="5" t="s">
        <v>98</v>
      </c>
      <c r="AE47" s="5">
        <v>0</v>
      </c>
      <c r="AF47" s="5"/>
      <c r="AG47" s="5"/>
      <c r="AH47" s="5"/>
      <c r="AI47" s="5">
        <v>19706.426000000003</v>
      </c>
    </row>
    <row r="48" spans="1:259" ht="12" customHeight="1" x14ac:dyDescent="0.2">
      <c r="A48" s="75">
        <v>40695</v>
      </c>
      <c r="B48" s="5">
        <v>5932</v>
      </c>
      <c r="C48" s="5">
        <v>434.75682543999937</v>
      </c>
      <c r="D48" s="5">
        <v>-7.9593814099999971</v>
      </c>
      <c r="E48" s="5">
        <v>-1051.306</v>
      </c>
      <c r="F48" s="5">
        <v>0</v>
      </c>
      <c r="G48" s="5">
        <v>-1525.9590000000001</v>
      </c>
      <c r="H48" s="5">
        <v>1925</v>
      </c>
      <c r="I48" s="5">
        <v>0</v>
      </c>
      <c r="J48" s="5">
        <v>-40.436999999999991</v>
      </c>
      <c r="K48" s="5">
        <v>5666.0954440300002</v>
      </c>
      <c r="L48" s="5">
        <v>-300.61559999999918</v>
      </c>
      <c r="M48" s="5">
        <v>9.9999999999909051E-3</v>
      </c>
      <c r="N48" s="5">
        <v>1103.4869999999978</v>
      </c>
      <c r="O48" s="5">
        <v>0</v>
      </c>
      <c r="P48" s="5">
        <v>0</v>
      </c>
      <c r="Q48" s="5" t="s">
        <v>98</v>
      </c>
      <c r="R48" s="5">
        <v>9.9999999999766942E-4</v>
      </c>
      <c r="S48" s="5"/>
      <c r="T48" s="5"/>
      <c r="U48" s="5"/>
      <c r="V48" s="5">
        <v>802.8823999999986</v>
      </c>
      <c r="W48" s="5">
        <v>6468.9778440299988</v>
      </c>
      <c r="X48" s="5">
        <v>6578.9748019050021</v>
      </c>
      <c r="Y48" s="5">
        <v>2590</v>
      </c>
      <c r="Z48" s="5">
        <v>0</v>
      </c>
      <c r="AA48" s="5">
        <v>17939.925000000003</v>
      </c>
      <c r="AB48" s="5">
        <v>0</v>
      </c>
      <c r="AC48" s="5">
        <v>0</v>
      </c>
      <c r="AD48" s="5" t="s">
        <v>98</v>
      </c>
      <c r="AE48" s="5">
        <v>0</v>
      </c>
      <c r="AF48" s="5"/>
      <c r="AG48" s="5"/>
      <c r="AH48" s="5"/>
      <c r="AI48" s="5">
        <v>20529.925000000003</v>
      </c>
    </row>
    <row r="49" spans="1:249" s="1" customFormat="1" ht="12" customHeight="1" x14ac:dyDescent="0.2">
      <c r="A49" s="75">
        <v>40725</v>
      </c>
      <c r="B49" s="5">
        <v>6469</v>
      </c>
      <c r="C49" s="5">
        <v>3751.4826645999979</v>
      </c>
      <c r="D49" s="5">
        <v>395.80622126000003</v>
      </c>
      <c r="E49" s="5">
        <v>-1289.9660000000001</v>
      </c>
      <c r="F49" s="5">
        <v>0</v>
      </c>
      <c r="G49" s="5">
        <v>-1180.2710000000002</v>
      </c>
      <c r="H49" s="5">
        <v>1686</v>
      </c>
      <c r="I49" s="5">
        <v>0</v>
      </c>
      <c r="J49" s="5">
        <v>-29.291</v>
      </c>
      <c r="K49" s="5">
        <v>9802.7608858599979</v>
      </c>
      <c r="L49" s="5">
        <v>-2048.3260000000018</v>
      </c>
      <c r="M49" s="5">
        <v>0</v>
      </c>
      <c r="N49" s="5">
        <v>-2122.5109999999995</v>
      </c>
      <c r="O49" s="5">
        <v>0</v>
      </c>
      <c r="P49" s="5">
        <v>0</v>
      </c>
      <c r="Q49" s="5" t="s">
        <v>98</v>
      </c>
      <c r="R49" s="5">
        <v>0</v>
      </c>
      <c r="S49" s="5"/>
      <c r="T49" s="5"/>
      <c r="U49" s="5"/>
      <c r="V49" s="5">
        <v>-4170.8370000000014</v>
      </c>
      <c r="W49" s="5">
        <v>5631.9238858599965</v>
      </c>
      <c r="X49" s="5">
        <v>6945.5471875086214</v>
      </c>
      <c r="Y49" s="5">
        <v>535</v>
      </c>
      <c r="Z49" s="5">
        <v>0</v>
      </c>
      <c r="AA49" s="5">
        <v>15831.517000000002</v>
      </c>
      <c r="AB49" s="5">
        <v>0</v>
      </c>
      <c r="AC49" s="5">
        <v>0</v>
      </c>
      <c r="AD49" s="5" t="s">
        <v>98</v>
      </c>
      <c r="AE49" s="5">
        <v>0</v>
      </c>
      <c r="AF49" s="5"/>
      <c r="AG49" s="5"/>
      <c r="AH49" s="5"/>
      <c r="AI49" s="5">
        <v>16366.517000000002</v>
      </c>
      <c r="AJ49" s="5"/>
      <c r="AK49" s="5"/>
      <c r="AL49" s="5"/>
      <c r="AM49" s="5"/>
      <c r="AN49" s="85"/>
      <c r="AO49" s="5"/>
      <c r="AP49" s="5"/>
      <c r="AQ49" s="5"/>
      <c r="AR49" s="5"/>
      <c r="AS49" s="5"/>
      <c r="AT49" s="5"/>
      <c r="AU49" s="5"/>
      <c r="AV49" s="5"/>
    </row>
    <row r="50" spans="1:249" ht="12" customHeight="1" x14ac:dyDescent="0.2">
      <c r="A50" s="75">
        <v>40756</v>
      </c>
      <c r="B50" s="5">
        <v>5632</v>
      </c>
      <c r="C50" s="5">
        <v>437.11060874999771</v>
      </c>
      <c r="D50" s="5">
        <v>453.22548983999997</v>
      </c>
      <c r="E50" s="5">
        <v>-976.45</v>
      </c>
      <c r="F50" s="5">
        <v>0</v>
      </c>
      <c r="G50" s="5">
        <v>-1871.941</v>
      </c>
      <c r="H50" s="5">
        <v>1155</v>
      </c>
      <c r="I50" s="5">
        <v>0</v>
      </c>
      <c r="J50" s="5">
        <v>-29.876500000000004</v>
      </c>
      <c r="K50" s="5">
        <v>4799.0685985899972</v>
      </c>
      <c r="L50" s="5">
        <v>2048.6459999999997</v>
      </c>
      <c r="M50" s="5">
        <v>0</v>
      </c>
      <c r="N50" s="5">
        <v>-1263.296</v>
      </c>
      <c r="O50" s="5">
        <v>0</v>
      </c>
      <c r="P50" s="5">
        <v>0</v>
      </c>
      <c r="Q50" s="5" t="s">
        <v>98</v>
      </c>
      <c r="R50" s="5">
        <v>3.9999999999977831E-3</v>
      </c>
      <c r="S50" s="5"/>
      <c r="T50" s="5"/>
      <c r="U50" s="5"/>
      <c r="V50" s="5">
        <v>785.3539999999997</v>
      </c>
      <c r="W50" s="5">
        <v>5584.4225985899966</v>
      </c>
      <c r="X50" s="5">
        <v>6610.0018747803015</v>
      </c>
      <c r="Y50" s="5">
        <v>2595</v>
      </c>
      <c r="Z50" s="5">
        <v>0</v>
      </c>
      <c r="AA50" s="5">
        <v>14583.155000000002</v>
      </c>
      <c r="AB50" s="5">
        <v>0</v>
      </c>
      <c r="AC50" s="5">
        <v>0</v>
      </c>
      <c r="AD50" s="5" t="s">
        <v>98</v>
      </c>
      <c r="AE50" s="5">
        <v>0</v>
      </c>
      <c r="AF50" s="5"/>
      <c r="AG50" s="5"/>
      <c r="AH50" s="5"/>
      <c r="AI50" s="5">
        <v>17178.155000000002</v>
      </c>
      <c r="AT50"/>
      <c r="AU50"/>
      <c r="AV50"/>
    </row>
    <row r="51" spans="1:249" s="9" customFormat="1" ht="12" customHeight="1" x14ac:dyDescent="0.2">
      <c r="A51" s="75">
        <v>40787</v>
      </c>
      <c r="B51" s="5">
        <v>5584</v>
      </c>
      <c r="C51" s="5">
        <v>1489.2320074100012</v>
      </c>
      <c r="D51" s="5">
        <v>336.14143046999993</v>
      </c>
      <c r="E51" s="5">
        <v>-1286.75</v>
      </c>
      <c r="F51" s="5">
        <v>0</v>
      </c>
      <c r="G51" s="5">
        <v>-1773.442</v>
      </c>
      <c r="H51" s="5">
        <v>1250</v>
      </c>
      <c r="I51" s="5">
        <v>0</v>
      </c>
      <c r="J51" s="5">
        <v>-38.374999999999993</v>
      </c>
      <c r="K51" s="5">
        <v>5560.8064378800009</v>
      </c>
      <c r="L51" s="5">
        <v>-925.98799999999937</v>
      </c>
      <c r="M51" s="5">
        <v>0</v>
      </c>
      <c r="N51" s="5">
        <v>2396.7620000000006</v>
      </c>
      <c r="O51" s="5">
        <v>0</v>
      </c>
      <c r="P51" s="5">
        <v>0</v>
      </c>
      <c r="Q51" s="5" t="s">
        <v>98</v>
      </c>
      <c r="R51" s="5">
        <v>0</v>
      </c>
      <c r="S51" s="5"/>
      <c r="T51" s="5"/>
      <c r="U51" s="5"/>
      <c r="V51" s="5">
        <v>1470.7740000000013</v>
      </c>
      <c r="W51" s="5">
        <v>7031.5804378800021</v>
      </c>
      <c r="X51" s="5">
        <v>6693.229333473666</v>
      </c>
      <c r="Y51" s="5">
        <v>1678</v>
      </c>
      <c r="Z51" s="5">
        <v>0</v>
      </c>
      <c r="AA51" s="5">
        <v>17103.652000000002</v>
      </c>
      <c r="AB51" s="5">
        <v>0</v>
      </c>
      <c r="AC51" s="5">
        <v>0</v>
      </c>
      <c r="AD51" s="5" t="s">
        <v>98</v>
      </c>
      <c r="AE51" s="5">
        <v>0</v>
      </c>
      <c r="AF51" s="5"/>
      <c r="AG51" s="5"/>
      <c r="AH51" s="5"/>
      <c r="AI51" s="5">
        <v>18781.652000000002</v>
      </c>
      <c r="AJ51" s="5"/>
      <c r="AK51" s="5"/>
      <c r="AL51" s="5"/>
      <c r="AM51" s="5"/>
      <c r="AN51" s="85"/>
      <c r="AO51" s="3"/>
      <c r="AQ51" s="3"/>
      <c r="AR51" s="3"/>
      <c r="AS51" s="3"/>
      <c r="AT51" s="3"/>
      <c r="AU51" s="3"/>
      <c r="AV51" s="3"/>
      <c r="AY51" s="3"/>
      <c r="BB51" s="3"/>
      <c r="BC51" s="3"/>
      <c r="BD51" s="3"/>
      <c r="BE51" s="3"/>
      <c r="BF51" s="3"/>
      <c r="BG51" s="3"/>
      <c r="BJ51" s="3"/>
      <c r="BL51" s="3"/>
      <c r="BM51" s="3"/>
      <c r="BW51" s="3"/>
      <c r="BX51" s="77"/>
      <c r="BZ51" s="3"/>
      <c r="CA51" s="3"/>
      <c r="CC51" s="3"/>
      <c r="CD51" s="3"/>
      <c r="CF51" s="3"/>
      <c r="CG51" s="3"/>
      <c r="CH51" s="3"/>
      <c r="CI51" s="3"/>
      <c r="CJ51" s="3"/>
      <c r="CK51" s="3"/>
      <c r="CN51" s="3"/>
      <c r="CQ51" s="3"/>
      <c r="CR51" s="3"/>
      <c r="CS51" s="3"/>
      <c r="CT51" s="3"/>
      <c r="CU51" s="3"/>
      <c r="CV51" s="3"/>
      <c r="CY51" s="3"/>
      <c r="DA51" s="3"/>
      <c r="DB51" s="3"/>
      <c r="DL51" s="3"/>
      <c r="DM51" s="77"/>
      <c r="DO51" s="3"/>
      <c r="DP51" s="3"/>
      <c r="DR51" s="3"/>
      <c r="DS51" s="3"/>
      <c r="DU51" s="3"/>
      <c r="DV51" s="3"/>
      <c r="DW51" s="3"/>
      <c r="DX51" s="3"/>
      <c r="DY51" s="3"/>
      <c r="DZ51" s="3"/>
      <c r="EC51" s="3"/>
      <c r="EF51" s="3"/>
      <c r="EG51" s="3"/>
      <c r="EH51" s="3"/>
      <c r="EI51" s="3"/>
      <c r="EJ51" s="3"/>
      <c r="EK51" s="3"/>
      <c r="EN51" s="3"/>
      <c r="EP51" s="3"/>
      <c r="EQ51" s="3"/>
      <c r="FA51" s="3"/>
      <c r="FB51" s="77"/>
      <c r="FD51" s="3"/>
      <c r="FE51" s="3"/>
      <c r="FG51" s="3"/>
      <c r="FH51" s="3"/>
      <c r="FJ51" s="3"/>
      <c r="FK51" s="3"/>
      <c r="FL51" s="3"/>
      <c r="FM51" s="3"/>
      <c r="FN51" s="3"/>
      <c r="FO51" s="3"/>
      <c r="FR51" s="3"/>
      <c r="FU51" s="3"/>
      <c r="FV51" s="3"/>
      <c r="FW51" s="3"/>
      <c r="FX51" s="3"/>
      <c r="FY51" s="3"/>
      <c r="FZ51" s="3"/>
      <c r="GC51" s="3"/>
      <c r="GE51" s="3"/>
      <c r="GF51" s="3"/>
      <c r="GP51" s="3"/>
      <c r="GQ51" s="77"/>
      <c r="GS51" s="3"/>
      <c r="GT51" s="3"/>
      <c r="GV51" s="3"/>
      <c r="GW51" s="3"/>
      <c r="GY51" s="3"/>
      <c r="GZ51" s="3"/>
      <c r="HA51" s="3"/>
      <c r="HB51" s="3"/>
      <c r="HC51" s="3"/>
      <c r="HD51" s="3"/>
      <c r="HG51" s="3"/>
      <c r="HJ51" s="3"/>
      <c r="HK51" s="3"/>
      <c r="HL51" s="3"/>
      <c r="HM51" s="3"/>
      <c r="HN51" s="3"/>
      <c r="HO51" s="3"/>
      <c r="HR51" s="3"/>
      <c r="HT51" s="3"/>
      <c r="HU51" s="3"/>
      <c r="IE51" s="3"/>
      <c r="IF51" s="77"/>
      <c r="IH51" s="3"/>
      <c r="II51" s="3"/>
      <c r="IK51" s="3"/>
      <c r="IL51" s="3"/>
      <c r="IN51" s="3"/>
      <c r="IO51" s="3"/>
    </row>
    <row r="52" spans="1:249" s="81" customFormat="1" ht="12" customHeight="1" x14ac:dyDescent="0.2">
      <c r="A52" s="75">
        <v>40817</v>
      </c>
      <c r="B52" s="5">
        <v>7032</v>
      </c>
      <c r="C52" s="5">
        <v>2035.5227762300021</v>
      </c>
      <c r="D52" s="5">
        <v>1639.5255835200001</v>
      </c>
      <c r="E52" s="5">
        <v>-2552.9560000000001</v>
      </c>
      <c r="F52" s="5">
        <v>0</v>
      </c>
      <c r="G52" s="5">
        <v>-1684.0340000000001</v>
      </c>
      <c r="H52" s="5">
        <v>1199.8499999999999</v>
      </c>
      <c r="I52" s="5">
        <v>0</v>
      </c>
      <c r="J52" s="5">
        <v>-27.247999999999998</v>
      </c>
      <c r="K52" s="5">
        <v>7642.6603597500034</v>
      </c>
      <c r="L52" s="5">
        <v>-296.97700000000032</v>
      </c>
      <c r="M52" s="5">
        <v>1.2829999999999018</v>
      </c>
      <c r="N52" s="5">
        <v>591.60000000000036</v>
      </c>
      <c r="O52" s="5">
        <v>0</v>
      </c>
      <c r="P52" s="5">
        <v>0</v>
      </c>
      <c r="Q52" s="5" t="s">
        <v>98</v>
      </c>
      <c r="R52" s="5">
        <v>-26.811999999999998</v>
      </c>
      <c r="S52" s="5"/>
      <c r="T52" s="5"/>
      <c r="U52" s="5"/>
      <c r="V52" s="5">
        <v>269.09399999999994</v>
      </c>
      <c r="W52" s="5">
        <v>7911.7543597500035</v>
      </c>
      <c r="X52" s="5">
        <v>7869.1799436277415</v>
      </c>
      <c r="Y52" s="5">
        <v>1383</v>
      </c>
      <c r="Z52" s="5">
        <v>0</v>
      </c>
      <c r="AA52" s="5">
        <v>17614.196</v>
      </c>
      <c r="AB52" s="5">
        <v>0</v>
      </c>
      <c r="AC52" s="5">
        <v>0</v>
      </c>
      <c r="AD52" s="5" t="s">
        <v>98</v>
      </c>
      <c r="AE52" s="5">
        <v>-27.55</v>
      </c>
      <c r="AF52" s="5"/>
      <c r="AG52" s="5"/>
      <c r="AH52" s="5"/>
      <c r="AI52" s="5">
        <v>18969.646000000001</v>
      </c>
      <c r="AJ52" s="5"/>
      <c r="AK52" s="5"/>
      <c r="AL52" s="5"/>
      <c r="AM52" s="5"/>
      <c r="AN52" s="85"/>
    </row>
    <row r="53" spans="1:249" s="81" customFormat="1" ht="12" customHeight="1" x14ac:dyDescent="0.2">
      <c r="A53" s="75">
        <v>40848</v>
      </c>
      <c r="B53" s="5">
        <v>7912</v>
      </c>
      <c r="C53" s="5">
        <v>-3989.9017542050001</v>
      </c>
      <c r="D53" s="5">
        <v>7.4907580399999905</v>
      </c>
      <c r="E53" s="5">
        <v>-2012.3609999999999</v>
      </c>
      <c r="F53" s="5">
        <v>9837</v>
      </c>
      <c r="G53" s="5">
        <v>-1973.9760000000001</v>
      </c>
      <c r="H53" s="5">
        <v>625</v>
      </c>
      <c r="I53" s="5">
        <v>0</v>
      </c>
      <c r="J53" s="5">
        <v>-35.6</v>
      </c>
      <c r="K53" s="5">
        <v>10369.652003834999</v>
      </c>
      <c r="L53" s="5">
        <v>-1328.616</v>
      </c>
      <c r="M53" s="5">
        <v>0.22499999999990905</v>
      </c>
      <c r="N53" s="5">
        <v>-725.9798000000028</v>
      </c>
      <c r="O53" s="5">
        <v>0</v>
      </c>
      <c r="P53" s="5">
        <v>0</v>
      </c>
      <c r="Q53" s="5" t="s">
        <v>98</v>
      </c>
      <c r="R53" s="5">
        <v>27.552</v>
      </c>
      <c r="S53" s="5"/>
      <c r="T53" s="5"/>
      <c r="U53" s="5"/>
      <c r="V53" s="5">
        <v>-2026.818800000003</v>
      </c>
      <c r="W53" s="5">
        <v>8342.8332038349963</v>
      </c>
      <c r="X53" s="5">
        <v>7978.6800309298324</v>
      </c>
      <c r="Y53" s="5">
        <v>51</v>
      </c>
      <c r="Z53" s="5">
        <v>0</v>
      </c>
      <c r="AA53" s="5">
        <v>17048.863999999998</v>
      </c>
      <c r="AB53" s="5">
        <v>0</v>
      </c>
      <c r="AC53" s="5">
        <v>0</v>
      </c>
      <c r="AD53" s="5" t="s">
        <v>98</v>
      </c>
      <c r="AE53" s="5">
        <v>0</v>
      </c>
      <c r="AF53" s="5"/>
      <c r="AG53" s="5"/>
      <c r="AH53" s="5"/>
      <c r="AI53" s="5">
        <v>17099.863999999998</v>
      </c>
      <c r="AJ53" s="5"/>
      <c r="AK53" s="5"/>
      <c r="AL53" s="5"/>
      <c r="AM53" s="5"/>
      <c r="AN53" s="85"/>
    </row>
    <row r="54" spans="1:249" s="81" customFormat="1" ht="12" customHeight="1" x14ac:dyDescent="0.2">
      <c r="A54" s="75">
        <v>40878</v>
      </c>
      <c r="B54" s="5">
        <v>8343</v>
      </c>
      <c r="C54" s="5">
        <v>3124.7357255599986</v>
      </c>
      <c r="D54" s="5">
        <v>-530.90704470000003</v>
      </c>
      <c r="E54" s="5">
        <v>-842.54701292999994</v>
      </c>
      <c r="F54" s="5">
        <v>0</v>
      </c>
      <c r="G54" s="5">
        <v>-987.24199999999996</v>
      </c>
      <c r="H54" s="5">
        <v>1605</v>
      </c>
      <c r="I54" s="5">
        <v>0</v>
      </c>
      <c r="J54" s="5">
        <v>-40.1</v>
      </c>
      <c r="K54" s="5">
        <v>10671.939667929999</v>
      </c>
      <c r="L54" s="5">
        <v>-5.0080000000000027</v>
      </c>
      <c r="M54" s="5">
        <v>3.2390000000000327</v>
      </c>
      <c r="N54" s="5">
        <v>-3538.2870000000003</v>
      </c>
      <c r="O54" s="5">
        <v>0</v>
      </c>
      <c r="P54" s="5">
        <v>0</v>
      </c>
      <c r="Q54" s="5" t="s">
        <v>98</v>
      </c>
      <c r="R54" s="5">
        <v>0</v>
      </c>
      <c r="S54" s="5"/>
      <c r="T54" s="5"/>
      <c r="U54" s="5"/>
      <c r="V54" s="5">
        <v>-3540.056</v>
      </c>
      <c r="W54" s="5">
        <v>7131.8836679299984</v>
      </c>
      <c r="X54" s="5">
        <v>7643.4314059285434</v>
      </c>
      <c r="Y54" s="5">
        <v>46.39</v>
      </c>
      <c r="Z54" s="5">
        <v>0</v>
      </c>
      <c r="AA54" s="5">
        <v>13519.787999999999</v>
      </c>
      <c r="AB54" s="5">
        <v>0</v>
      </c>
      <c r="AC54" s="5">
        <v>0</v>
      </c>
      <c r="AD54" s="5" t="s">
        <v>98</v>
      </c>
      <c r="AE54" s="5">
        <v>0</v>
      </c>
      <c r="AF54" s="5"/>
      <c r="AG54" s="5"/>
      <c r="AH54" s="5"/>
      <c r="AI54" s="5">
        <v>13566.177999999998</v>
      </c>
      <c r="AJ54" s="5"/>
      <c r="AK54" s="5"/>
      <c r="AL54" s="5"/>
      <c r="AM54" s="5"/>
      <c r="AN54" s="85"/>
    </row>
    <row r="55" spans="1:249" s="81" customFormat="1" ht="12" customHeight="1" x14ac:dyDescent="0.2">
      <c r="A55" s="75">
        <v>40909</v>
      </c>
      <c r="B55" s="5">
        <v>7132</v>
      </c>
      <c r="C55" s="5">
        <v>-2419.2506533100009</v>
      </c>
      <c r="D55" s="5">
        <v>423.55635563999988</v>
      </c>
      <c r="E55" s="5">
        <v>-276.44262377000001</v>
      </c>
      <c r="F55" s="5">
        <v>0</v>
      </c>
      <c r="G55" s="5">
        <v>-1284.3109999999999</v>
      </c>
      <c r="H55" s="5">
        <v>1580</v>
      </c>
      <c r="I55" s="5">
        <v>0</v>
      </c>
      <c r="J55" s="5">
        <v>-24.9</v>
      </c>
      <c r="K55" s="5">
        <v>5130.6520785600005</v>
      </c>
      <c r="L55" s="5">
        <v>149.75600000000003</v>
      </c>
      <c r="M55" s="5">
        <v>-214.41799999999921</v>
      </c>
      <c r="N55" s="5">
        <v>1208.3609999999999</v>
      </c>
      <c r="O55" s="5">
        <v>0</v>
      </c>
      <c r="P55" s="5">
        <v>0</v>
      </c>
      <c r="Q55" s="5" t="s">
        <v>98</v>
      </c>
      <c r="R55" s="5">
        <v>-8.0000000000097771E-3</v>
      </c>
      <c r="S55" s="5"/>
      <c r="T55" s="5"/>
      <c r="U55" s="5"/>
      <c r="V55" s="5">
        <v>1143.6910000000007</v>
      </c>
      <c r="W55" s="5">
        <v>6274.3430785600012</v>
      </c>
      <c r="X55" s="5">
        <v>7189.2661402195172</v>
      </c>
      <c r="Y55" s="5">
        <v>189.49</v>
      </c>
      <c r="Z55" s="5">
        <v>-215.35</v>
      </c>
      <c r="AA55" s="5">
        <v>14741.569</v>
      </c>
      <c r="AB55" s="5">
        <v>0</v>
      </c>
      <c r="AC55" s="5">
        <v>0</v>
      </c>
      <c r="AD55" s="5" t="s">
        <v>98</v>
      </c>
      <c r="AE55" s="5">
        <v>0</v>
      </c>
      <c r="AF55" s="5"/>
      <c r="AG55" s="5"/>
      <c r="AH55" s="5"/>
      <c r="AI55" s="5">
        <v>14715.708999999999</v>
      </c>
      <c r="AJ55" s="5"/>
      <c r="AK55" s="5"/>
      <c r="AL55" s="5"/>
      <c r="AM55" s="5"/>
      <c r="AN55" s="85"/>
    </row>
    <row r="56" spans="1:249" s="81" customFormat="1" ht="12" customHeight="1" x14ac:dyDescent="0.2">
      <c r="A56" s="75">
        <v>40940</v>
      </c>
      <c r="B56" s="5">
        <v>6274</v>
      </c>
      <c r="C56" s="5">
        <v>835.09446843500257</v>
      </c>
      <c r="D56" s="5">
        <v>71.009941430000055</v>
      </c>
      <c r="E56" s="5">
        <v>-847.42499999999995</v>
      </c>
      <c r="F56" s="5">
        <v>0</v>
      </c>
      <c r="G56" s="5">
        <v>-1478.1320000000001</v>
      </c>
      <c r="H56" s="5">
        <v>1800</v>
      </c>
      <c r="I56" s="5">
        <v>0</v>
      </c>
      <c r="J56" s="5">
        <v>-29.829999999999995</v>
      </c>
      <c r="K56" s="5">
        <v>6624.717409865003</v>
      </c>
      <c r="L56" s="5">
        <v>-200.50500000000011</v>
      </c>
      <c r="M56" s="5">
        <v>215.51299999999981</v>
      </c>
      <c r="N56" s="5">
        <v>760.82400000000007</v>
      </c>
      <c r="O56" s="5">
        <v>0</v>
      </c>
      <c r="P56" s="5">
        <v>0</v>
      </c>
      <c r="Q56" s="5" t="s">
        <v>98</v>
      </c>
      <c r="R56" s="5">
        <v>1.5000000000014779E-2</v>
      </c>
      <c r="S56" s="5"/>
      <c r="T56" s="5"/>
      <c r="U56" s="5"/>
      <c r="V56" s="5">
        <v>775.84699999999975</v>
      </c>
      <c r="W56" s="5">
        <v>7400.5644098650027</v>
      </c>
      <c r="X56" s="5">
        <v>7185.4676129780337</v>
      </c>
      <c r="Y56" s="5">
        <v>0</v>
      </c>
      <c r="Z56" s="5">
        <v>0</v>
      </c>
      <c r="AA56" s="5">
        <v>14612.438999999998</v>
      </c>
      <c r="AB56" s="5">
        <v>0</v>
      </c>
      <c r="AC56" s="5">
        <v>0</v>
      </c>
      <c r="AD56" s="5" t="s">
        <v>98</v>
      </c>
      <c r="AE56" s="5">
        <v>0</v>
      </c>
      <c r="AF56" s="5"/>
      <c r="AG56" s="5"/>
      <c r="AH56" s="5"/>
      <c r="AI56" s="5">
        <v>14612.438999999998</v>
      </c>
      <c r="AJ56" s="5"/>
      <c r="AK56" s="5"/>
      <c r="AL56" s="5"/>
      <c r="AM56" s="5"/>
      <c r="AN56" s="85"/>
    </row>
    <row r="57" spans="1:249" s="81" customFormat="1" ht="12" customHeight="1" x14ac:dyDescent="0.2">
      <c r="A57" s="75">
        <v>40969</v>
      </c>
      <c r="B57" s="5">
        <v>7401</v>
      </c>
      <c r="C57" s="5">
        <v>700.95912689000045</v>
      </c>
      <c r="D57" s="5">
        <v>-16.756077399999953</v>
      </c>
      <c r="E57" s="5">
        <v>-1160.7639340000001</v>
      </c>
      <c r="F57" s="5">
        <v>0</v>
      </c>
      <c r="G57" s="5">
        <v>-1182.6030000000001</v>
      </c>
      <c r="H57" s="5">
        <v>920</v>
      </c>
      <c r="I57" s="5">
        <v>0</v>
      </c>
      <c r="J57" s="5">
        <v>-46.70900000000001</v>
      </c>
      <c r="K57" s="5">
        <v>6615.1271154900005</v>
      </c>
      <c r="L57" s="5">
        <v>749.93000000000006</v>
      </c>
      <c r="M57" s="5">
        <v>0.52649999999994179</v>
      </c>
      <c r="N57" s="5">
        <v>-403.36429999999928</v>
      </c>
      <c r="O57" s="5">
        <v>0</v>
      </c>
      <c r="P57" s="5">
        <v>0</v>
      </c>
      <c r="Q57" s="5" t="s">
        <v>98</v>
      </c>
      <c r="R57" s="5">
        <v>7.6150000000012597E-3</v>
      </c>
      <c r="S57" s="5"/>
      <c r="T57" s="5"/>
      <c r="U57" s="5"/>
      <c r="V57" s="5">
        <v>347.09981500000072</v>
      </c>
      <c r="W57" s="5">
        <v>6962.226930490001</v>
      </c>
      <c r="X57" s="5">
        <v>7489.3239436525728</v>
      </c>
      <c r="Y57" s="5">
        <v>713.85</v>
      </c>
      <c r="Z57" s="5">
        <v>0</v>
      </c>
      <c r="AA57" s="5">
        <v>15117.456699999997</v>
      </c>
      <c r="AB57" s="5">
        <v>0</v>
      </c>
      <c r="AC57" s="5">
        <v>0</v>
      </c>
      <c r="AD57" s="5" t="s">
        <v>98</v>
      </c>
      <c r="AE57" s="5">
        <v>0</v>
      </c>
      <c r="AF57" s="5"/>
      <c r="AG57" s="5"/>
      <c r="AH57" s="5"/>
      <c r="AI57" s="5">
        <v>15831.306699999997</v>
      </c>
      <c r="AJ57" s="5"/>
      <c r="AK57" s="5"/>
      <c r="AL57" s="5"/>
      <c r="AM57" s="5"/>
      <c r="AN57" s="85"/>
    </row>
    <row r="58" spans="1:249" s="81" customFormat="1" ht="12" customHeight="1" x14ac:dyDescent="0.2">
      <c r="A58" s="75">
        <v>41000</v>
      </c>
      <c r="B58" s="5">
        <v>6962</v>
      </c>
      <c r="C58" s="5">
        <v>1946.0651783000012</v>
      </c>
      <c r="D58" s="5">
        <v>4.2095915300000044</v>
      </c>
      <c r="E58" s="5">
        <v>-1100.5873000000001</v>
      </c>
      <c r="F58" s="5">
        <v>0</v>
      </c>
      <c r="G58" s="5">
        <v>-1380.6555000000003</v>
      </c>
      <c r="H58" s="5">
        <v>1020</v>
      </c>
      <c r="I58" s="5">
        <v>0</v>
      </c>
      <c r="J58" s="5">
        <v>-14.859399999999997</v>
      </c>
      <c r="K58" s="5">
        <v>7436.1725698300006</v>
      </c>
      <c r="L58" s="5">
        <v>-651.15206000000035</v>
      </c>
      <c r="M58" s="5">
        <v>1.3999999999995794E-2</v>
      </c>
      <c r="N58" s="5">
        <v>-79.984136999999919</v>
      </c>
      <c r="O58" s="5">
        <v>0</v>
      </c>
      <c r="P58" s="5">
        <v>0</v>
      </c>
      <c r="Q58" s="5" t="s">
        <v>98</v>
      </c>
      <c r="R58" s="5">
        <v>0</v>
      </c>
      <c r="S58" s="5"/>
      <c r="T58" s="5"/>
      <c r="U58" s="5"/>
      <c r="V58" s="5">
        <v>-731.12219700000026</v>
      </c>
      <c r="W58" s="5">
        <v>6705.05037283</v>
      </c>
      <c r="X58" s="5">
        <v>7049.9544451344791</v>
      </c>
      <c r="Y58" s="5">
        <v>100</v>
      </c>
      <c r="Z58" s="5">
        <v>0</v>
      </c>
      <c r="AA58" s="5">
        <v>14869.680562999998</v>
      </c>
      <c r="AB58" s="5">
        <v>0</v>
      </c>
      <c r="AC58" s="5">
        <v>0</v>
      </c>
      <c r="AD58" s="5" t="s">
        <v>98</v>
      </c>
      <c r="AE58" s="5">
        <v>0</v>
      </c>
      <c r="AF58" s="5"/>
      <c r="AG58" s="5"/>
      <c r="AH58" s="5"/>
      <c r="AI58" s="5">
        <v>14969.680562999998</v>
      </c>
      <c r="AJ58" s="5"/>
      <c r="AK58" s="5"/>
      <c r="AL58" s="5"/>
      <c r="AM58" s="5"/>
      <c r="AN58" s="85"/>
    </row>
    <row r="59" spans="1:249" s="81" customFormat="1" ht="12" customHeight="1" x14ac:dyDescent="0.2">
      <c r="A59" s="75">
        <v>41030</v>
      </c>
      <c r="B59" s="5">
        <v>6705</v>
      </c>
      <c r="C59" s="5">
        <v>-787.25097854499961</v>
      </c>
      <c r="D59" s="5">
        <v>18.466502669999954</v>
      </c>
      <c r="E59" s="5">
        <v>-1886.7996000000003</v>
      </c>
      <c r="F59" s="5">
        <v>0</v>
      </c>
      <c r="G59" s="5">
        <v>-1479.03</v>
      </c>
      <c r="H59" s="5">
        <v>1774</v>
      </c>
      <c r="I59" s="5">
        <v>0</v>
      </c>
      <c r="J59" s="5">
        <v>-17.920300000000001</v>
      </c>
      <c r="K59" s="5">
        <v>4326.4656241250004</v>
      </c>
      <c r="L59" s="5">
        <v>397.83479999999963</v>
      </c>
      <c r="M59" s="5">
        <v>0.20899999999994634</v>
      </c>
      <c r="N59" s="5">
        <v>2399.5507800000005</v>
      </c>
      <c r="O59" s="5">
        <v>0</v>
      </c>
      <c r="P59" s="5">
        <v>0</v>
      </c>
      <c r="Q59" s="5" t="s">
        <v>98</v>
      </c>
      <c r="R59" s="5">
        <v>-261.85900000000004</v>
      </c>
      <c r="S59" s="5"/>
      <c r="T59" s="5"/>
      <c r="U59" s="5"/>
      <c r="V59" s="5">
        <v>2535.73558</v>
      </c>
      <c r="W59" s="5">
        <v>6862.201204125</v>
      </c>
      <c r="X59" s="5">
        <v>7198.322363841713</v>
      </c>
      <c r="Y59" s="5">
        <v>500</v>
      </c>
      <c r="Z59" s="5">
        <v>0</v>
      </c>
      <c r="AA59" s="5">
        <v>17646.922242999994</v>
      </c>
      <c r="AB59" s="5">
        <v>0</v>
      </c>
      <c r="AC59" s="5">
        <v>0</v>
      </c>
      <c r="AD59" s="5" t="s">
        <v>98</v>
      </c>
      <c r="AE59" s="5">
        <v>-261.86</v>
      </c>
      <c r="AF59" s="5"/>
      <c r="AG59" s="5"/>
      <c r="AH59" s="5"/>
      <c r="AI59" s="5">
        <v>17885.062242999993</v>
      </c>
      <c r="AJ59" s="5"/>
      <c r="AK59" s="5"/>
      <c r="AL59" s="5"/>
      <c r="AM59" s="5"/>
      <c r="AN59" s="85"/>
    </row>
    <row r="60" spans="1:249" s="81" customFormat="1" ht="12" customHeight="1" x14ac:dyDescent="0.2">
      <c r="A60" s="75">
        <v>41061</v>
      </c>
      <c r="B60" s="5">
        <v>6862</v>
      </c>
      <c r="C60" s="5">
        <v>1425.0533290400003</v>
      </c>
      <c r="D60" s="5">
        <v>33.930176259999982</v>
      </c>
      <c r="E60" s="5">
        <v>-1107.7244502999999</v>
      </c>
      <c r="F60" s="5">
        <v>0</v>
      </c>
      <c r="G60" s="5">
        <v>-1183.3870000000002</v>
      </c>
      <c r="H60" s="5">
        <v>780</v>
      </c>
      <c r="I60" s="5">
        <v>0</v>
      </c>
      <c r="J60" s="5">
        <v>-31.538200000000007</v>
      </c>
      <c r="K60" s="5">
        <v>6778.3338549999999</v>
      </c>
      <c r="L60" s="5">
        <v>999.81292999999994</v>
      </c>
      <c r="M60" s="5">
        <v>7.4700000000007094E-2</v>
      </c>
      <c r="N60" s="5">
        <v>-1789.7117399999997</v>
      </c>
      <c r="O60" s="5">
        <v>0</v>
      </c>
      <c r="P60" s="5">
        <v>0</v>
      </c>
      <c r="Q60" s="5" t="s">
        <v>98</v>
      </c>
      <c r="R60" s="5">
        <v>143.24599999999998</v>
      </c>
      <c r="S60" s="5"/>
      <c r="T60" s="5"/>
      <c r="U60" s="5"/>
      <c r="V60" s="5">
        <v>-646.57810999999981</v>
      </c>
      <c r="W60" s="5">
        <v>6131.7557450000004</v>
      </c>
      <c r="X60" s="5">
        <v>7126.5570760758037</v>
      </c>
      <c r="Y60" s="5">
        <v>1500</v>
      </c>
      <c r="Z60" s="5">
        <v>0</v>
      </c>
      <c r="AA60" s="5">
        <v>15693.663042999997</v>
      </c>
      <c r="AB60" s="5">
        <v>0</v>
      </c>
      <c r="AC60" s="5">
        <v>0</v>
      </c>
      <c r="AD60" s="5" t="s">
        <v>98</v>
      </c>
      <c r="AE60" s="5">
        <v>-118.64</v>
      </c>
      <c r="AF60" s="5"/>
      <c r="AG60" s="5"/>
      <c r="AH60" s="5"/>
      <c r="AI60" s="5">
        <v>17075.023042999997</v>
      </c>
      <c r="AJ60" s="5"/>
      <c r="AK60" s="5"/>
      <c r="AL60" s="5"/>
      <c r="AM60" s="5"/>
      <c r="AN60" s="85"/>
    </row>
    <row r="61" spans="1:249" s="81" customFormat="1" ht="12" customHeight="1" x14ac:dyDescent="0.2">
      <c r="A61" s="75">
        <v>41091</v>
      </c>
      <c r="B61" s="5">
        <v>6132.0615690300001</v>
      </c>
      <c r="C61" s="5">
        <v>3582.4499918499987</v>
      </c>
      <c r="D61" s="5">
        <v>129.83266667000001</v>
      </c>
      <c r="E61" s="5">
        <v>-1109.4605999999999</v>
      </c>
      <c r="F61" s="5">
        <v>0</v>
      </c>
      <c r="G61" s="5">
        <v>-591.6</v>
      </c>
      <c r="H61" s="5">
        <v>1699</v>
      </c>
      <c r="I61" s="5">
        <v>0</v>
      </c>
      <c r="J61" s="5">
        <v>-25.774999999999999</v>
      </c>
      <c r="K61" s="5">
        <v>9816.508627549998</v>
      </c>
      <c r="L61" s="5">
        <v>-701.62908999999991</v>
      </c>
      <c r="M61" s="5">
        <v>0</v>
      </c>
      <c r="N61" s="5">
        <v>-2260.6215999999995</v>
      </c>
      <c r="O61" s="5">
        <v>0</v>
      </c>
      <c r="P61" s="5">
        <v>0</v>
      </c>
      <c r="Q61" s="5" t="s">
        <v>98</v>
      </c>
      <c r="R61" s="5">
        <v>118.6579</v>
      </c>
      <c r="S61" s="5"/>
      <c r="T61" s="5"/>
      <c r="U61" s="5"/>
      <c r="V61" s="5">
        <v>-2843.5927899999992</v>
      </c>
      <c r="W61" s="5">
        <v>6973</v>
      </c>
      <c r="X61" s="5">
        <v>7046.5272796786676</v>
      </c>
      <c r="Y61" s="5">
        <v>800</v>
      </c>
      <c r="Z61" s="5">
        <v>0</v>
      </c>
      <c r="AA61" s="5">
        <v>13521.796042999995</v>
      </c>
      <c r="AB61" s="5">
        <v>0</v>
      </c>
      <c r="AC61" s="5">
        <v>0</v>
      </c>
      <c r="AD61" s="5" t="s">
        <v>98</v>
      </c>
      <c r="AE61" s="5">
        <v>0</v>
      </c>
      <c r="AF61" s="5"/>
      <c r="AG61" s="5"/>
      <c r="AH61" s="5"/>
      <c r="AI61" s="5">
        <v>14321.796042999995</v>
      </c>
      <c r="AJ61" s="5"/>
      <c r="AK61" s="5"/>
      <c r="AL61" s="5"/>
      <c r="AM61" s="5"/>
      <c r="AN61" s="85"/>
    </row>
    <row r="62" spans="1:249" s="1" customFormat="1" ht="12" customHeight="1" x14ac:dyDescent="0.2">
      <c r="A62" s="75">
        <v>41122</v>
      </c>
      <c r="B62" s="5">
        <v>6973</v>
      </c>
      <c r="C62" s="5">
        <v>-869.14389197999674</v>
      </c>
      <c r="D62" s="5">
        <v>1337.0813337100001</v>
      </c>
      <c r="E62" s="5">
        <v>-1406.0889999999999</v>
      </c>
      <c r="F62" s="5">
        <v>0</v>
      </c>
      <c r="G62" s="5">
        <v>-847.62900000000002</v>
      </c>
      <c r="H62" s="5">
        <v>1150</v>
      </c>
      <c r="I62" s="5">
        <v>0</v>
      </c>
      <c r="J62" s="5">
        <v>-27.636000000000003</v>
      </c>
      <c r="K62" s="5">
        <v>6309.583441730003</v>
      </c>
      <c r="L62" s="5">
        <v>1169.8309999999999</v>
      </c>
      <c r="M62" s="5">
        <v>0</v>
      </c>
      <c r="N62" s="5">
        <v>-924.28747999999985</v>
      </c>
      <c r="O62" s="5">
        <v>0</v>
      </c>
      <c r="P62" s="5">
        <v>0</v>
      </c>
      <c r="Q62" s="5" t="s">
        <v>98</v>
      </c>
      <c r="R62" s="5">
        <v>0</v>
      </c>
      <c r="S62" s="5"/>
      <c r="T62" s="5"/>
      <c r="U62" s="5"/>
      <c r="V62" s="5">
        <v>245.54352000000006</v>
      </c>
      <c r="W62" s="5">
        <v>6555.1269617300031</v>
      </c>
      <c r="X62" s="5">
        <v>6803.0705389654549</v>
      </c>
      <c r="Y62" s="5">
        <v>1970</v>
      </c>
      <c r="Z62" s="5">
        <v>0</v>
      </c>
      <c r="AA62" s="5">
        <v>12610.582042999997</v>
      </c>
      <c r="AB62" s="5">
        <v>0</v>
      </c>
      <c r="AC62" s="5">
        <v>0</v>
      </c>
      <c r="AD62" s="5" t="s">
        <v>98</v>
      </c>
      <c r="AE62" s="5">
        <v>0</v>
      </c>
      <c r="AF62" s="5"/>
      <c r="AG62" s="5"/>
      <c r="AH62" s="5"/>
      <c r="AI62" s="5">
        <v>14580.582042999997</v>
      </c>
      <c r="AJ62" s="5"/>
      <c r="AK62" s="5"/>
      <c r="AL62" s="5"/>
      <c r="AM62" s="5"/>
      <c r="AN62" s="85"/>
      <c r="AO62" s="5"/>
      <c r="AP62" s="5"/>
      <c r="AQ62" s="5"/>
      <c r="AR62" s="5"/>
      <c r="AS62" s="5"/>
    </row>
    <row r="63" spans="1:249" s="1" customFormat="1" ht="12" customHeight="1" x14ac:dyDescent="0.2">
      <c r="A63" s="75">
        <v>41153</v>
      </c>
      <c r="B63" s="5">
        <v>6555</v>
      </c>
      <c r="C63" s="5">
        <v>806.91231342999902</v>
      </c>
      <c r="D63" s="5">
        <v>1022.4949141899999</v>
      </c>
      <c r="E63" s="5">
        <v>-1147.5520000000001</v>
      </c>
      <c r="F63" s="5">
        <v>0</v>
      </c>
      <c r="G63" s="5">
        <v>-591.16999999999996</v>
      </c>
      <c r="H63" s="5">
        <v>1350</v>
      </c>
      <c r="I63" s="5">
        <v>0</v>
      </c>
      <c r="J63" s="5">
        <v>-29.033000000000001</v>
      </c>
      <c r="K63" s="5">
        <v>7966.6522276199985</v>
      </c>
      <c r="L63" s="5">
        <v>-1306.0300000000002</v>
      </c>
      <c r="M63" s="5">
        <v>0</v>
      </c>
      <c r="N63" s="5">
        <v>380.09009999999989</v>
      </c>
      <c r="O63" s="5">
        <v>0</v>
      </c>
      <c r="P63" s="5">
        <v>0</v>
      </c>
      <c r="Q63" s="5" t="s">
        <v>98</v>
      </c>
      <c r="R63" s="5">
        <v>-4.6100000000000012</v>
      </c>
      <c r="S63" s="5"/>
      <c r="T63" s="5"/>
      <c r="U63" s="5"/>
      <c r="V63" s="5">
        <v>-930.54990000000032</v>
      </c>
      <c r="W63" s="5">
        <v>7036.1023276199985</v>
      </c>
      <c r="X63" s="5">
        <v>7008.0423118160716</v>
      </c>
      <c r="Y63" s="5">
        <v>667</v>
      </c>
      <c r="Z63" s="5">
        <v>-4.6100000000000003</v>
      </c>
      <c r="AA63" s="5">
        <v>13002.473842999996</v>
      </c>
      <c r="AB63" s="5">
        <v>0</v>
      </c>
      <c r="AC63" s="5">
        <v>0</v>
      </c>
      <c r="AD63" s="5" t="s">
        <v>98</v>
      </c>
      <c r="AE63" s="5">
        <v>-5</v>
      </c>
      <c r="AF63" s="5"/>
      <c r="AG63" s="5"/>
      <c r="AH63" s="5"/>
      <c r="AI63" s="5">
        <v>13659.863842999996</v>
      </c>
      <c r="AJ63" s="5"/>
      <c r="AK63" s="5"/>
      <c r="AL63" s="5"/>
      <c r="AM63" s="5"/>
      <c r="AN63" s="85"/>
    </row>
    <row r="64" spans="1:249" s="1" customFormat="1" ht="12" customHeight="1" x14ac:dyDescent="0.2">
      <c r="A64" s="75">
        <v>41183</v>
      </c>
      <c r="B64" s="5">
        <v>7036.3635578700005</v>
      </c>
      <c r="C64" s="5">
        <v>990.1241217599993</v>
      </c>
      <c r="D64" s="5">
        <v>-123.61956987999994</v>
      </c>
      <c r="E64" s="5">
        <v>-3936.5129999999999</v>
      </c>
      <c r="F64" s="5">
        <v>0</v>
      </c>
      <c r="G64" s="5">
        <v>-591.25900000000001</v>
      </c>
      <c r="H64" s="5">
        <v>1700</v>
      </c>
      <c r="I64" s="5">
        <v>0</v>
      </c>
      <c r="J64" s="5">
        <v>-30.450000000000003</v>
      </c>
      <c r="K64" s="5">
        <v>5044.6461097499996</v>
      </c>
      <c r="L64" s="5">
        <v>582.45499999999993</v>
      </c>
      <c r="M64" s="5">
        <v>0.15800000000012915</v>
      </c>
      <c r="N64" s="5">
        <v>1446.6610000000005</v>
      </c>
      <c r="O64" s="5">
        <v>0</v>
      </c>
      <c r="P64" s="5">
        <v>0</v>
      </c>
      <c r="Q64" s="5" t="s">
        <v>98</v>
      </c>
      <c r="R64" s="5">
        <v>4.6100000000000012</v>
      </c>
      <c r="S64" s="5"/>
      <c r="T64" s="5"/>
      <c r="U64" s="5"/>
      <c r="V64" s="5">
        <v>2033.8840000000005</v>
      </c>
      <c r="W64" s="5">
        <v>7078.5301097499996</v>
      </c>
      <c r="X64" s="5">
        <v>7067.8319865872727</v>
      </c>
      <c r="Y64" s="5">
        <v>1250</v>
      </c>
      <c r="Z64" s="5">
        <v>0</v>
      </c>
      <c r="AA64" s="5">
        <v>14455.872842999997</v>
      </c>
      <c r="AB64" s="5">
        <v>0</v>
      </c>
      <c r="AC64" s="5">
        <v>0</v>
      </c>
      <c r="AD64" s="5" t="s">
        <v>98</v>
      </c>
      <c r="AE64" s="5">
        <v>0</v>
      </c>
      <c r="AF64" s="5"/>
      <c r="AG64" s="5"/>
      <c r="AH64" s="5"/>
      <c r="AI64" s="5">
        <v>15705.872842999997</v>
      </c>
      <c r="AJ64" s="5"/>
      <c r="AK64" s="5"/>
      <c r="AL64" s="5"/>
      <c r="AM64" s="5"/>
      <c r="AN64" s="85"/>
    </row>
    <row r="65" spans="1:40" s="1" customFormat="1" ht="12" customHeight="1" x14ac:dyDescent="0.2">
      <c r="A65" s="75">
        <v>41214</v>
      </c>
      <c r="B65" s="5">
        <v>7078.5301097499996</v>
      </c>
      <c r="C65" s="5">
        <v>1338.3973308850004</v>
      </c>
      <c r="D65" s="5">
        <v>-57.108329350000048</v>
      </c>
      <c r="E65" s="5">
        <v>-1149.3820000000001</v>
      </c>
      <c r="F65" s="5">
        <v>0</v>
      </c>
      <c r="G65" s="5">
        <v>-591.37599999999998</v>
      </c>
      <c r="H65" s="5">
        <v>1100</v>
      </c>
      <c r="I65" s="5">
        <v>0</v>
      </c>
      <c r="J65" s="5">
        <v>29.089999999999982</v>
      </c>
      <c r="K65" s="5">
        <v>7748.1511112850003</v>
      </c>
      <c r="L65" s="5">
        <v>-661.29099999999971</v>
      </c>
      <c r="M65" s="5">
        <v>0</v>
      </c>
      <c r="N65" s="5">
        <v>-418.69499999999971</v>
      </c>
      <c r="O65" s="5">
        <v>0</v>
      </c>
      <c r="P65" s="5">
        <v>5.009999999999998</v>
      </c>
      <c r="Q65" s="5" t="s">
        <v>98</v>
      </c>
      <c r="R65" s="5">
        <v>6.0000000000002274E-3</v>
      </c>
      <c r="S65" s="5"/>
      <c r="T65" s="5"/>
      <c r="U65" s="5"/>
      <c r="V65" s="5">
        <v>-1074.9699999999993</v>
      </c>
      <c r="W65" s="5">
        <v>6673.181111285001</v>
      </c>
      <c r="X65" s="5">
        <v>7100.0740592856646</v>
      </c>
      <c r="Y65" s="5">
        <v>590</v>
      </c>
      <c r="Z65" s="5">
        <v>0</v>
      </c>
      <c r="AA65" s="5">
        <v>14044.321842999998</v>
      </c>
      <c r="AB65" s="5">
        <v>0</v>
      </c>
      <c r="AC65" s="5">
        <v>5.01</v>
      </c>
      <c r="AD65" s="5" t="s">
        <v>98</v>
      </c>
      <c r="AE65" s="5">
        <v>0</v>
      </c>
      <c r="AF65" s="5"/>
      <c r="AG65" s="5"/>
      <c r="AH65" s="5"/>
      <c r="AI65" s="5">
        <v>14639.331842999998</v>
      </c>
      <c r="AJ65" s="5"/>
      <c r="AK65" s="5"/>
      <c r="AL65" s="5"/>
      <c r="AM65" s="5"/>
      <c r="AN65" s="85"/>
    </row>
    <row r="66" spans="1:40" s="80" customFormat="1" ht="12" customHeight="1" x14ac:dyDescent="0.2">
      <c r="A66" s="75">
        <v>41244</v>
      </c>
      <c r="B66" s="5">
        <v>6673.181111285001</v>
      </c>
      <c r="C66" s="5">
        <v>2590.7109213500007</v>
      </c>
      <c r="D66" s="5">
        <v>1362.92529777</v>
      </c>
      <c r="E66" s="5">
        <v>-1157.3719999999998</v>
      </c>
      <c r="F66" s="5">
        <v>0</v>
      </c>
      <c r="G66" s="5">
        <v>-591.51</v>
      </c>
      <c r="H66" s="5">
        <v>600</v>
      </c>
      <c r="I66" s="5">
        <v>0</v>
      </c>
      <c r="J66" s="5">
        <v>168.559</v>
      </c>
      <c r="K66" s="5">
        <v>9646.4943304050012</v>
      </c>
      <c r="L66" s="5">
        <v>-545.62899999999991</v>
      </c>
      <c r="M66" s="5">
        <v>6.9999999999936335E-2</v>
      </c>
      <c r="N66" s="5">
        <v>-2411.4549999999999</v>
      </c>
      <c r="O66" s="5">
        <v>0</v>
      </c>
      <c r="P66" s="5">
        <v>-5.009999759999971</v>
      </c>
      <c r="Q66" s="5" t="s">
        <v>98</v>
      </c>
      <c r="R66" s="5">
        <v>0</v>
      </c>
      <c r="S66" s="5"/>
      <c r="T66" s="5"/>
      <c r="U66" s="5"/>
      <c r="V66" s="5">
        <v>-2962.0239997600002</v>
      </c>
      <c r="W66" s="5">
        <v>6684.5703306450014</v>
      </c>
      <c r="X66" s="5">
        <v>6925.2570497095176</v>
      </c>
      <c r="Y66" s="5">
        <v>45</v>
      </c>
      <c r="Z66" s="5">
        <v>0</v>
      </c>
      <c r="AA66" s="5">
        <v>11642.117842999996</v>
      </c>
      <c r="AB66" s="5">
        <v>0</v>
      </c>
      <c r="AC66" s="5">
        <v>0</v>
      </c>
      <c r="AD66" s="5" t="s">
        <v>98</v>
      </c>
      <c r="AE66" s="5">
        <v>0</v>
      </c>
      <c r="AF66" s="5"/>
      <c r="AG66" s="5"/>
      <c r="AH66" s="5"/>
      <c r="AI66" s="5">
        <v>11687.117842999996</v>
      </c>
      <c r="AJ66" s="5"/>
      <c r="AK66" s="5"/>
      <c r="AL66" s="5"/>
      <c r="AM66" s="5"/>
      <c r="AN66" s="85"/>
    </row>
    <row r="67" spans="1:40" s="1" customFormat="1" ht="12" customHeight="1" x14ac:dyDescent="0.2">
      <c r="A67" s="75">
        <v>41275</v>
      </c>
      <c r="B67" s="5">
        <v>6685</v>
      </c>
      <c r="C67" s="5">
        <v>-3003.6302434299992</v>
      </c>
      <c r="D67" s="5">
        <v>393.42918146</v>
      </c>
      <c r="E67" s="5">
        <v>-466.02100000000002</v>
      </c>
      <c r="F67" s="5">
        <v>0</v>
      </c>
      <c r="G67" s="5">
        <v>-591.42200000000003</v>
      </c>
      <c r="H67" s="5">
        <v>1317</v>
      </c>
      <c r="I67" s="5">
        <v>0</v>
      </c>
      <c r="J67" s="5">
        <v>-23.653999999999996</v>
      </c>
      <c r="K67" s="5">
        <v>4310.7019380300007</v>
      </c>
      <c r="L67" s="5">
        <v>-45.069999999999993</v>
      </c>
      <c r="M67" s="5">
        <v>0.14600000000041291</v>
      </c>
      <c r="N67" s="5">
        <v>3062.3829999999989</v>
      </c>
      <c r="O67" s="5">
        <v>0</v>
      </c>
      <c r="P67" s="5">
        <v>-8.0000000000000071E-3</v>
      </c>
      <c r="Q67" s="5" t="s">
        <v>98</v>
      </c>
      <c r="R67" s="5">
        <v>0</v>
      </c>
      <c r="S67" s="5"/>
      <c r="T67" s="5"/>
      <c r="U67" s="5"/>
      <c r="V67" s="5">
        <v>3017.4509999999996</v>
      </c>
      <c r="W67" s="5">
        <v>7328.1529380299999</v>
      </c>
      <c r="X67" s="5">
        <v>7099.744583435001</v>
      </c>
      <c r="Y67" s="5">
        <v>0</v>
      </c>
      <c r="Z67" s="5">
        <v>0</v>
      </c>
      <c r="AA67" s="5">
        <v>14488.633842999996</v>
      </c>
      <c r="AB67" s="5">
        <v>0</v>
      </c>
      <c r="AC67" s="5">
        <v>0</v>
      </c>
      <c r="AD67" s="5" t="s">
        <v>98</v>
      </c>
      <c r="AE67" s="5">
        <v>0</v>
      </c>
      <c r="AF67" s="5"/>
      <c r="AG67" s="5"/>
      <c r="AH67" s="5"/>
      <c r="AI67" s="5">
        <v>14488.633842999996</v>
      </c>
      <c r="AJ67" s="5"/>
      <c r="AK67" s="5"/>
      <c r="AL67" s="5"/>
      <c r="AM67" s="5"/>
      <c r="AN67" s="85"/>
    </row>
    <row r="68" spans="1:40" s="1" customFormat="1" ht="12" customHeight="1" x14ac:dyDescent="0.2">
      <c r="A68" s="75">
        <v>41306</v>
      </c>
      <c r="B68" s="5">
        <v>7328</v>
      </c>
      <c r="C68" s="5">
        <v>1281.7356432449997</v>
      </c>
      <c r="D68" s="5">
        <v>182.65946069999995</v>
      </c>
      <c r="E68" s="5">
        <v>-900.34300000000007</v>
      </c>
      <c r="F68" s="5">
        <v>0</v>
      </c>
      <c r="G68" s="5">
        <v>-591.46400000000006</v>
      </c>
      <c r="H68" s="5">
        <v>620</v>
      </c>
      <c r="I68" s="5">
        <v>0</v>
      </c>
      <c r="J68" s="5">
        <v>-4.0970000000000022</v>
      </c>
      <c r="K68" s="5">
        <v>7916.4911039450008</v>
      </c>
      <c r="L68" s="5">
        <v>19.965000000000003</v>
      </c>
      <c r="M68" s="5">
        <v>0.28599999999983083</v>
      </c>
      <c r="N68" s="5">
        <v>-45.170999999998457</v>
      </c>
      <c r="O68" s="5">
        <v>0</v>
      </c>
      <c r="P68" s="5">
        <v>0.46000000000000085</v>
      </c>
      <c r="Q68" s="5" t="s">
        <v>98</v>
      </c>
      <c r="R68" s="5">
        <v>0</v>
      </c>
      <c r="S68" s="5"/>
      <c r="T68" s="5"/>
      <c r="U68" s="5"/>
      <c r="V68" s="5">
        <v>-24.459999999998622</v>
      </c>
      <c r="W68" s="5">
        <v>7892.0311039450025</v>
      </c>
      <c r="X68" s="5">
        <v>7366.9465651576775</v>
      </c>
      <c r="Y68" s="5">
        <v>20</v>
      </c>
      <c r="Z68" s="5">
        <v>0</v>
      </c>
      <c r="AA68" s="5">
        <v>14449.424842999997</v>
      </c>
      <c r="AB68" s="5">
        <v>0</v>
      </c>
      <c r="AC68" s="5">
        <v>0</v>
      </c>
      <c r="AD68" s="5" t="s">
        <v>98</v>
      </c>
      <c r="AE68" s="5">
        <v>0</v>
      </c>
      <c r="AF68" s="5"/>
      <c r="AG68" s="5"/>
      <c r="AH68" s="5"/>
      <c r="AI68" s="5">
        <v>14469.424842999997</v>
      </c>
      <c r="AJ68" s="5"/>
      <c r="AK68" s="5"/>
      <c r="AL68" s="5"/>
      <c r="AM68" s="5"/>
      <c r="AN68" s="85"/>
    </row>
    <row r="69" spans="1:40" s="1" customFormat="1" ht="12" customHeight="1" x14ac:dyDescent="0.2">
      <c r="A69" s="75">
        <v>41334</v>
      </c>
      <c r="B69" s="5">
        <v>7891.8253726199991</v>
      </c>
      <c r="C69" s="5">
        <v>684.73565274000202</v>
      </c>
      <c r="D69" s="5">
        <v>598.50594751999995</v>
      </c>
      <c r="E69" s="5">
        <v>-895.70100000000002</v>
      </c>
      <c r="F69" s="5">
        <v>0</v>
      </c>
      <c r="G69" s="5">
        <v>-591.78899999999999</v>
      </c>
      <c r="H69" s="5">
        <v>1125</v>
      </c>
      <c r="I69" s="5">
        <v>0</v>
      </c>
      <c r="J69" s="5">
        <v>-30.317799999999995</v>
      </c>
      <c r="K69" s="5">
        <v>8782.2591728799998</v>
      </c>
      <c r="L69" s="5">
        <v>200</v>
      </c>
      <c r="M69" s="5">
        <v>0.86500000000023647</v>
      </c>
      <c r="N69" s="5">
        <v>-1439.6549999999979</v>
      </c>
      <c r="O69" s="5">
        <v>0</v>
      </c>
      <c r="P69" s="5">
        <v>0</v>
      </c>
      <c r="Q69" s="5" t="s">
        <v>98</v>
      </c>
      <c r="R69" s="5">
        <v>0</v>
      </c>
      <c r="S69" s="5"/>
      <c r="T69" s="5"/>
      <c r="U69" s="5"/>
      <c r="V69" s="5">
        <v>-1238.7899999999977</v>
      </c>
      <c r="W69" s="5">
        <v>7543.4691728800026</v>
      </c>
      <c r="X69" s="5">
        <v>7624.7890683838668</v>
      </c>
      <c r="Y69" s="5">
        <v>147</v>
      </c>
      <c r="Z69" s="5">
        <v>0</v>
      </c>
      <c r="AA69" s="5">
        <v>13018.733842999996</v>
      </c>
      <c r="AB69" s="5">
        <v>0</v>
      </c>
      <c r="AC69" s="5">
        <v>0</v>
      </c>
      <c r="AD69" s="5" t="s">
        <v>98</v>
      </c>
      <c r="AE69" s="5">
        <v>0</v>
      </c>
      <c r="AF69" s="5"/>
      <c r="AG69" s="5"/>
      <c r="AH69" s="5"/>
      <c r="AI69" s="5">
        <v>13165.733842999996</v>
      </c>
      <c r="AJ69" s="5"/>
      <c r="AK69" s="5"/>
      <c r="AL69" s="5"/>
      <c r="AM69" s="5"/>
      <c r="AN69" s="85"/>
    </row>
    <row r="70" spans="1:40" s="1" customFormat="1" ht="12" customHeight="1" x14ac:dyDescent="0.2">
      <c r="A70" s="75">
        <v>41365</v>
      </c>
      <c r="B70" s="5">
        <v>7543</v>
      </c>
      <c r="C70" s="5">
        <v>32</v>
      </c>
      <c r="D70" s="5">
        <v>174.40265054999995</v>
      </c>
      <c r="E70" s="5">
        <v>-2426.4499999999998</v>
      </c>
      <c r="F70" s="5">
        <v>4928</v>
      </c>
      <c r="G70" s="5">
        <v>-592.15599999999995</v>
      </c>
      <c r="H70" s="5">
        <v>0</v>
      </c>
      <c r="I70" s="5">
        <v>0</v>
      </c>
      <c r="J70" s="5">
        <v>231.39099999999996</v>
      </c>
      <c r="K70" s="5">
        <v>9890.4894911400006</v>
      </c>
      <c r="L70" s="5">
        <v>-220.43499999999995</v>
      </c>
      <c r="M70" s="5">
        <v>-756.11000000000013</v>
      </c>
      <c r="N70" s="5">
        <v>-1638.998499999997</v>
      </c>
      <c r="O70" s="5">
        <v>0</v>
      </c>
      <c r="P70" s="5">
        <v>1</v>
      </c>
      <c r="Q70" s="5" t="s">
        <v>98</v>
      </c>
      <c r="R70" s="5">
        <v>1.0000000000005116E-2</v>
      </c>
      <c r="S70" s="5"/>
      <c r="T70" s="5"/>
      <c r="U70" s="5"/>
      <c r="V70" s="5">
        <v>-2614.5334999999968</v>
      </c>
      <c r="W70" s="5">
        <v>7275.9559911400038</v>
      </c>
      <c r="X70" s="5">
        <v>7613.7197435820672</v>
      </c>
      <c r="Y70" s="5">
        <v>0</v>
      </c>
      <c r="Z70" s="5">
        <v>-756.8</v>
      </c>
      <c r="AA70" s="5">
        <v>11398.733842999998</v>
      </c>
      <c r="AB70" s="5">
        <v>0</v>
      </c>
      <c r="AC70" s="5">
        <v>1</v>
      </c>
      <c r="AD70" s="5" t="s">
        <v>98</v>
      </c>
      <c r="AE70" s="5">
        <v>0</v>
      </c>
      <c r="AF70" s="5"/>
      <c r="AG70" s="5"/>
      <c r="AH70" s="5"/>
      <c r="AI70" s="5">
        <v>10642.933842999999</v>
      </c>
      <c r="AJ70" s="5"/>
      <c r="AK70" s="5"/>
      <c r="AL70" s="5"/>
      <c r="AM70" s="5"/>
      <c r="AN70" s="85"/>
    </row>
    <row r="71" spans="1:40" s="1" customFormat="1" ht="12" customHeight="1" x14ac:dyDescent="0.2">
      <c r="A71" s="75">
        <v>41395</v>
      </c>
      <c r="B71" s="5">
        <v>7276.4251640199964</v>
      </c>
      <c r="C71" s="5">
        <v>-3982.6110186650012</v>
      </c>
      <c r="D71" s="5">
        <v>55.206622069999931</v>
      </c>
      <c r="E71" s="5">
        <v>-508.738</v>
      </c>
      <c r="F71" s="5">
        <v>0</v>
      </c>
      <c r="G71" s="5">
        <v>-592.17100000000005</v>
      </c>
      <c r="H71" s="5">
        <v>1400</v>
      </c>
      <c r="I71" s="5">
        <v>0</v>
      </c>
      <c r="J71" s="5">
        <v>-96.856999999999985</v>
      </c>
      <c r="K71" s="5">
        <v>3551.2547674249954</v>
      </c>
      <c r="L71" s="5">
        <v>234.947</v>
      </c>
      <c r="M71" s="5">
        <v>757.5949999999998</v>
      </c>
      <c r="N71" s="5">
        <v>2699.9339999999993</v>
      </c>
      <c r="O71" s="5">
        <v>0</v>
      </c>
      <c r="P71" s="5">
        <v>-1</v>
      </c>
      <c r="Q71" s="5" t="s">
        <v>98</v>
      </c>
      <c r="R71" s="5">
        <v>0</v>
      </c>
      <c r="S71" s="5"/>
      <c r="T71" s="5"/>
      <c r="U71" s="5"/>
      <c r="V71" s="5">
        <v>3691.4759999999992</v>
      </c>
      <c r="W71" s="5">
        <v>7242.7307674249951</v>
      </c>
      <c r="X71" s="5">
        <v>7257.6171293431207</v>
      </c>
      <c r="Y71" s="5">
        <v>191.87</v>
      </c>
      <c r="Z71" s="5">
        <v>0</v>
      </c>
      <c r="AA71" s="5">
        <v>14103.955842999998</v>
      </c>
      <c r="AB71" s="5">
        <v>0</v>
      </c>
      <c r="AC71" s="5">
        <v>0</v>
      </c>
      <c r="AD71" s="5" t="s">
        <v>98</v>
      </c>
      <c r="AE71" s="5">
        <v>0</v>
      </c>
      <c r="AF71" s="5"/>
      <c r="AG71" s="5"/>
      <c r="AH71" s="5"/>
      <c r="AI71" s="5">
        <v>14295.825842999999</v>
      </c>
      <c r="AJ71" s="5"/>
      <c r="AK71" s="5"/>
      <c r="AL71" s="5"/>
      <c r="AM71" s="5"/>
      <c r="AN71" s="85"/>
    </row>
    <row r="72" spans="1:40" s="1" customFormat="1" ht="12" customHeight="1" x14ac:dyDescent="0.2">
      <c r="A72" s="75">
        <v>41426</v>
      </c>
      <c r="B72" s="5">
        <v>7243</v>
      </c>
      <c r="C72" s="5">
        <v>890.1781226599951</v>
      </c>
      <c r="D72" s="5">
        <v>12.75466816999996</v>
      </c>
      <c r="E72" s="5">
        <v>-446.46299999999997</v>
      </c>
      <c r="F72" s="5">
        <v>0</v>
      </c>
      <c r="G72" s="5">
        <v>-547.40000000000009</v>
      </c>
      <c r="H72" s="5">
        <v>800</v>
      </c>
      <c r="I72" s="5">
        <v>0</v>
      </c>
      <c r="J72" s="5">
        <v>-93.213700000000017</v>
      </c>
      <c r="K72" s="5">
        <v>7858.8560908299951</v>
      </c>
      <c r="L72" s="5">
        <v>-210.12599999999998</v>
      </c>
      <c r="M72" s="5">
        <v>-344.56199999999808</v>
      </c>
      <c r="N72" s="5">
        <v>596.41799999999967</v>
      </c>
      <c r="O72" s="5">
        <v>0</v>
      </c>
      <c r="P72" s="5">
        <v>-0.12999999999999545</v>
      </c>
      <c r="Q72" s="5" t="s">
        <v>98</v>
      </c>
      <c r="R72" s="5">
        <v>0</v>
      </c>
      <c r="S72" s="5"/>
      <c r="T72" s="5"/>
      <c r="U72" s="5"/>
      <c r="V72" s="5">
        <v>41.600000000001614</v>
      </c>
      <c r="W72" s="5">
        <v>7900.4560908299964</v>
      </c>
      <c r="X72" s="5">
        <v>7588.6554003463407</v>
      </c>
      <c r="Y72" s="5">
        <v>26.12</v>
      </c>
      <c r="Z72" s="5">
        <v>-346.29</v>
      </c>
      <c r="AA72" s="5">
        <v>14711.572842999998</v>
      </c>
      <c r="AB72" s="5">
        <v>0</v>
      </c>
      <c r="AC72" s="5">
        <v>0</v>
      </c>
      <c r="AD72" s="5" t="s">
        <v>98</v>
      </c>
      <c r="AE72" s="5">
        <v>0</v>
      </c>
      <c r="AF72" s="5"/>
      <c r="AG72" s="5"/>
      <c r="AH72" s="5"/>
      <c r="AI72" s="5">
        <v>14391.402842999998</v>
      </c>
      <c r="AJ72" s="5"/>
      <c r="AK72" s="5"/>
      <c r="AL72" s="5"/>
      <c r="AM72" s="5"/>
      <c r="AN72" s="85"/>
    </row>
    <row r="73" spans="1:40" s="1" customFormat="1" ht="12" customHeight="1" x14ac:dyDescent="0.2">
      <c r="A73" s="75">
        <v>41456</v>
      </c>
      <c r="B73" s="5">
        <v>7900.2795722700002</v>
      </c>
      <c r="C73" s="5">
        <v>3482.2977353700007</v>
      </c>
      <c r="D73" s="5">
        <v>-124.45161479000002</v>
      </c>
      <c r="E73" s="5">
        <v>-582.51599999999996</v>
      </c>
      <c r="F73" s="5">
        <v>0</v>
      </c>
      <c r="G73" s="5">
        <v>-699.83299999999997</v>
      </c>
      <c r="H73" s="5">
        <v>600</v>
      </c>
      <c r="I73" s="5">
        <v>0</v>
      </c>
      <c r="J73" s="5">
        <v>-26.471</v>
      </c>
      <c r="K73" s="5">
        <v>10549.305692850001</v>
      </c>
      <c r="L73" s="5">
        <v>-25.052</v>
      </c>
      <c r="M73" s="5">
        <v>347.43399999999929</v>
      </c>
      <c r="N73" s="5">
        <v>-3559.2009999999991</v>
      </c>
      <c r="O73" s="5">
        <v>-199.72399999999999</v>
      </c>
      <c r="P73" s="5">
        <v>0</v>
      </c>
      <c r="Q73" s="5" t="s">
        <v>98</v>
      </c>
      <c r="R73" s="5">
        <v>-4.0500000000000007</v>
      </c>
      <c r="S73" s="5"/>
      <c r="T73" s="5"/>
      <c r="U73" s="5"/>
      <c r="V73" s="5">
        <v>-3440.5930000000003</v>
      </c>
      <c r="W73" s="5">
        <v>7108.7126928500002</v>
      </c>
      <c r="X73" s="5">
        <v>7935.7545301829032</v>
      </c>
      <c r="Y73" s="5">
        <v>0</v>
      </c>
      <c r="Z73" s="5">
        <v>0</v>
      </c>
      <c r="AA73" s="5">
        <v>11165.635842999996</v>
      </c>
      <c r="AB73" s="5">
        <v>-199.72399999999999</v>
      </c>
      <c r="AC73" s="5">
        <v>0</v>
      </c>
      <c r="AD73" s="5" t="s">
        <v>98</v>
      </c>
      <c r="AE73" s="5">
        <v>-4.05</v>
      </c>
      <c r="AF73" s="5"/>
      <c r="AG73" s="5"/>
      <c r="AH73" s="5"/>
      <c r="AI73" s="5">
        <v>10961.861842999997</v>
      </c>
      <c r="AJ73" s="5"/>
      <c r="AK73" s="5"/>
      <c r="AL73" s="5"/>
      <c r="AM73" s="5"/>
      <c r="AN73" s="85"/>
    </row>
    <row r="74" spans="1:40" s="1" customFormat="1" ht="12" customHeight="1" x14ac:dyDescent="0.2">
      <c r="A74" s="75">
        <v>41487</v>
      </c>
      <c r="B74" s="5">
        <v>7108.7126928499974</v>
      </c>
      <c r="C74" s="5">
        <v>-589.48997995000298</v>
      </c>
      <c r="D74" s="5">
        <v>-1.9954389999949029E-2</v>
      </c>
      <c r="E74" s="5">
        <v>-572.92499999999995</v>
      </c>
      <c r="F74" s="5">
        <v>0</v>
      </c>
      <c r="G74" s="5">
        <v>-552.25700000000006</v>
      </c>
      <c r="H74" s="5">
        <v>600</v>
      </c>
      <c r="I74" s="5">
        <v>0</v>
      </c>
      <c r="J74" s="5">
        <v>-31.911799999999999</v>
      </c>
      <c r="K74" s="5">
        <v>5962.1089585099944</v>
      </c>
      <c r="L74" s="5">
        <v>-1.999999999998181E-2</v>
      </c>
      <c r="M74" s="5">
        <v>0</v>
      </c>
      <c r="N74" s="5">
        <v>1163.4800000000005</v>
      </c>
      <c r="O74" s="5">
        <v>-49.144999999999982</v>
      </c>
      <c r="P74" s="5">
        <v>0</v>
      </c>
      <c r="Q74" s="5" t="s">
        <v>98</v>
      </c>
      <c r="R74" s="5">
        <v>4.05</v>
      </c>
      <c r="S74" s="5"/>
      <c r="T74" s="5"/>
      <c r="U74" s="5"/>
      <c r="V74" s="5">
        <v>1118.3650000000005</v>
      </c>
      <c r="W74" s="5">
        <v>7080.4739585099951</v>
      </c>
      <c r="X74" s="5">
        <v>7516.9973855636317</v>
      </c>
      <c r="Y74" s="5">
        <v>0</v>
      </c>
      <c r="Z74" s="5">
        <v>0</v>
      </c>
      <c r="AA74" s="5">
        <v>12341.679842999998</v>
      </c>
      <c r="AB74" s="5">
        <v>-248.86899999999997</v>
      </c>
      <c r="AC74" s="5">
        <v>0</v>
      </c>
      <c r="AD74" s="5" t="s">
        <v>98</v>
      </c>
      <c r="AE74" s="5">
        <v>0</v>
      </c>
      <c r="AF74" s="5"/>
      <c r="AG74" s="5"/>
      <c r="AH74" s="5"/>
      <c r="AI74" s="5">
        <v>12092.810842999997</v>
      </c>
      <c r="AJ74" s="5"/>
      <c r="AK74" s="5"/>
      <c r="AL74" s="5"/>
      <c r="AM74" s="5"/>
      <c r="AN74" s="85"/>
    </row>
    <row r="75" spans="1:40" s="1" customFormat="1" ht="12" customHeight="1" x14ac:dyDescent="0.2">
      <c r="A75" s="75">
        <v>41518</v>
      </c>
      <c r="B75" s="5">
        <v>7080</v>
      </c>
      <c r="C75" s="5">
        <v>877.01892739999937</v>
      </c>
      <c r="D75" s="5">
        <v>-12.871559839999991</v>
      </c>
      <c r="E75" s="5">
        <v>-556.35699999999997</v>
      </c>
      <c r="F75" s="5">
        <v>0</v>
      </c>
      <c r="G75" s="5">
        <v>-551.99199999999996</v>
      </c>
      <c r="H75" s="5">
        <v>600</v>
      </c>
      <c r="I75" s="5">
        <v>0</v>
      </c>
      <c r="J75" s="5">
        <v>-27.772000000000002</v>
      </c>
      <c r="K75" s="5">
        <v>7408.026367559999</v>
      </c>
      <c r="L75" s="5">
        <v>100</v>
      </c>
      <c r="M75" s="5">
        <v>0.20500000000038199</v>
      </c>
      <c r="N75" s="5">
        <v>-259.15100000000007</v>
      </c>
      <c r="O75" s="5">
        <v>50.488000000000056</v>
      </c>
      <c r="P75" s="5">
        <v>0</v>
      </c>
      <c r="Q75" s="5" t="s">
        <v>98</v>
      </c>
      <c r="R75" s="5">
        <v>-34.71</v>
      </c>
      <c r="S75" s="5"/>
      <c r="T75" s="5"/>
      <c r="U75" s="5"/>
      <c r="V75" s="5">
        <v>-143.16799999999964</v>
      </c>
      <c r="W75" s="5">
        <v>7264.8583675599994</v>
      </c>
      <c r="X75" s="5">
        <v>7213.0784120882081</v>
      </c>
      <c r="Y75" s="5">
        <v>96.52</v>
      </c>
      <c r="Z75" s="5">
        <v>0</v>
      </c>
      <c r="AA75" s="5">
        <v>10941.241842999998</v>
      </c>
      <c r="AB75" s="5">
        <v>-200</v>
      </c>
      <c r="AC75" s="5">
        <v>0</v>
      </c>
      <c r="AD75" s="5" t="s">
        <v>98</v>
      </c>
      <c r="AE75" s="5">
        <v>-34.71</v>
      </c>
      <c r="AF75" s="5"/>
      <c r="AG75" s="5"/>
      <c r="AH75" s="5"/>
      <c r="AI75" s="5">
        <v>10803.051842999999</v>
      </c>
      <c r="AJ75" s="5"/>
      <c r="AK75" s="5"/>
      <c r="AL75" s="5"/>
      <c r="AM75" s="5"/>
      <c r="AN75" s="85"/>
    </row>
    <row r="76" spans="1:40" s="1" customFormat="1" ht="12" customHeight="1" x14ac:dyDescent="0.2">
      <c r="A76" s="75">
        <v>41548</v>
      </c>
      <c r="B76" s="5">
        <v>7265.3323260699963</v>
      </c>
      <c r="C76" s="5">
        <v>-460.78036462</v>
      </c>
      <c r="D76" s="5">
        <v>-218.46499654999997</v>
      </c>
      <c r="E76" s="5">
        <v>-3074.2159999999999</v>
      </c>
      <c r="F76" s="5">
        <v>0</v>
      </c>
      <c r="G76" s="5">
        <v>-551.80799999999999</v>
      </c>
      <c r="H76" s="5">
        <v>650</v>
      </c>
      <c r="I76" s="5">
        <v>0</v>
      </c>
      <c r="J76" s="5">
        <v>-30.859999999999996</v>
      </c>
      <c r="K76" s="5">
        <v>3579.202964899996</v>
      </c>
      <c r="L76" s="5">
        <v>-100.00698631</v>
      </c>
      <c r="M76" s="5">
        <v>0.75</v>
      </c>
      <c r="N76" s="5">
        <v>3388.1930000000002</v>
      </c>
      <c r="O76" s="5">
        <v>-199.13815553999996</v>
      </c>
      <c r="P76" s="5">
        <v>0</v>
      </c>
      <c r="Q76" s="5" t="s">
        <v>98</v>
      </c>
      <c r="R76" s="5">
        <v>34.71</v>
      </c>
      <c r="S76" s="5"/>
      <c r="T76" s="5"/>
      <c r="U76" s="5"/>
      <c r="V76" s="5">
        <v>3124.5078581500006</v>
      </c>
      <c r="W76" s="5">
        <v>6703.7108230499962</v>
      </c>
      <c r="X76" s="5">
        <v>7351.141275690331</v>
      </c>
      <c r="Y76" s="5">
        <v>0</v>
      </c>
      <c r="Z76" s="5">
        <v>0</v>
      </c>
      <c r="AA76" s="5">
        <v>15487.578842999998</v>
      </c>
      <c r="AB76" s="5">
        <v>-399.13815553999996</v>
      </c>
      <c r="AC76" s="5">
        <v>0</v>
      </c>
      <c r="AD76" s="5" t="s">
        <v>98</v>
      </c>
      <c r="AE76" s="5">
        <v>0</v>
      </c>
      <c r="AF76" s="5"/>
      <c r="AG76" s="5"/>
      <c r="AH76" s="5"/>
      <c r="AI76" s="5">
        <v>15088.440687459997</v>
      </c>
      <c r="AJ76" s="5"/>
      <c r="AK76" s="5"/>
      <c r="AL76" s="5"/>
      <c r="AM76" s="5"/>
      <c r="AN76" s="85"/>
    </row>
    <row r="77" spans="1:40" s="1" customFormat="1" ht="12" customHeight="1" x14ac:dyDescent="0.2">
      <c r="A77" s="75">
        <v>41579</v>
      </c>
      <c r="B77" s="5">
        <v>6703.7108230499962</v>
      </c>
      <c r="C77" s="5">
        <v>1548.4335281299989</v>
      </c>
      <c r="D77" s="5">
        <v>-5.617342189999901</v>
      </c>
      <c r="E77" s="5">
        <v>-561.91073300000005</v>
      </c>
      <c r="F77" s="5">
        <v>0</v>
      </c>
      <c r="G77" s="5">
        <v>-551.72647800000004</v>
      </c>
      <c r="H77" s="5">
        <v>600</v>
      </c>
      <c r="I77" s="5">
        <v>0</v>
      </c>
      <c r="J77" s="5">
        <v>-34.936</v>
      </c>
      <c r="K77" s="5">
        <v>7697.953797989996</v>
      </c>
      <c r="L77" s="5">
        <v>-0.10500000000001819</v>
      </c>
      <c r="M77" s="5">
        <v>0.3553940000001603</v>
      </c>
      <c r="N77" s="5">
        <v>-530.58123099999966</v>
      </c>
      <c r="O77" s="5">
        <v>400.19176800000002</v>
      </c>
      <c r="P77" s="5">
        <v>0</v>
      </c>
      <c r="Q77" s="5" t="s">
        <v>98</v>
      </c>
      <c r="R77" s="5">
        <v>0</v>
      </c>
      <c r="S77" s="5"/>
      <c r="T77" s="5"/>
      <c r="U77" s="5"/>
      <c r="V77" s="5">
        <v>-130.13906899999949</v>
      </c>
      <c r="W77" s="5">
        <v>7567.8147289899962</v>
      </c>
      <c r="X77" s="5">
        <v>7414.7913532603288</v>
      </c>
      <c r="Y77" s="5">
        <v>0</v>
      </c>
      <c r="Z77" s="5">
        <v>0</v>
      </c>
      <c r="AA77" s="5">
        <v>14968.425611999995</v>
      </c>
      <c r="AB77" s="5">
        <v>0</v>
      </c>
      <c r="AC77" s="5">
        <v>0</v>
      </c>
      <c r="AD77" s="5" t="s">
        <v>98</v>
      </c>
      <c r="AE77" s="5">
        <v>0</v>
      </c>
      <c r="AF77" s="5"/>
      <c r="AG77" s="5"/>
      <c r="AH77" s="5"/>
      <c r="AI77" s="5">
        <v>14968.425611999995</v>
      </c>
      <c r="AJ77" s="5"/>
      <c r="AK77" s="5"/>
      <c r="AL77" s="5"/>
      <c r="AM77" s="5"/>
      <c r="AN77" s="85"/>
    </row>
    <row r="78" spans="1:40" s="1" customFormat="1" ht="12" customHeight="1" x14ac:dyDescent="0.2">
      <c r="A78" s="75">
        <v>41609</v>
      </c>
      <c r="B78" s="5">
        <v>7567.8147289899962</v>
      </c>
      <c r="C78" s="5">
        <v>3029.3680142799999</v>
      </c>
      <c r="D78" s="5">
        <v>-585.36034938</v>
      </c>
      <c r="E78" s="5">
        <v>-551.77</v>
      </c>
      <c r="F78" s="5">
        <v>0</v>
      </c>
      <c r="G78" s="5">
        <v>-551.36400000000003</v>
      </c>
      <c r="H78" s="5">
        <v>455</v>
      </c>
      <c r="I78" s="5">
        <v>0</v>
      </c>
      <c r="J78" s="5">
        <v>-42.577999999999996</v>
      </c>
      <c r="K78" s="5">
        <v>9321.110393889996</v>
      </c>
      <c r="L78" s="5">
        <v>799.94299999999998</v>
      </c>
      <c r="M78" s="5">
        <v>0.13999999999987267</v>
      </c>
      <c r="N78" s="5">
        <v>-2659.0900900000006</v>
      </c>
      <c r="O78" s="5">
        <v>4.7922999999997273E-2</v>
      </c>
      <c r="P78" s="5">
        <v>0</v>
      </c>
      <c r="Q78" s="5" t="s">
        <v>98</v>
      </c>
      <c r="R78" s="5">
        <v>0</v>
      </c>
      <c r="S78" s="5"/>
      <c r="T78" s="5"/>
      <c r="U78" s="5"/>
      <c r="V78" s="5">
        <v>-1858.9591670000007</v>
      </c>
      <c r="W78" s="5">
        <v>7462.1512268899951</v>
      </c>
      <c r="X78" s="5">
        <v>7436.9843612356635</v>
      </c>
      <c r="Y78" s="5">
        <v>800.08</v>
      </c>
      <c r="Z78" s="5">
        <v>0</v>
      </c>
      <c r="AA78" s="5">
        <v>12324.859669999998</v>
      </c>
      <c r="AB78" s="5">
        <v>0</v>
      </c>
      <c r="AC78" s="5">
        <v>0</v>
      </c>
      <c r="AD78" s="5" t="s">
        <v>98</v>
      </c>
      <c r="AE78" s="5">
        <v>0</v>
      </c>
      <c r="AF78" s="5"/>
      <c r="AG78" s="5"/>
      <c r="AH78" s="5"/>
      <c r="AI78" s="5">
        <v>13124.939669999998</v>
      </c>
      <c r="AJ78" s="5"/>
      <c r="AK78" s="5"/>
      <c r="AL78" s="5"/>
      <c r="AM78" s="5"/>
      <c r="AN78" s="85"/>
    </row>
    <row r="79" spans="1:40" s="1" customFormat="1" ht="12" customHeight="1" x14ac:dyDescent="0.2">
      <c r="A79" s="75">
        <v>41640</v>
      </c>
      <c r="B79" s="5">
        <v>7462</v>
      </c>
      <c r="C79" s="5">
        <v>-2999.9749779500044</v>
      </c>
      <c r="D79" s="5">
        <v>434.04918650999997</v>
      </c>
      <c r="E79" s="5">
        <v>0</v>
      </c>
      <c r="F79" s="5">
        <v>0</v>
      </c>
      <c r="G79" s="5">
        <v>0</v>
      </c>
      <c r="H79" s="5">
        <v>720</v>
      </c>
      <c r="I79" s="5">
        <v>0</v>
      </c>
      <c r="J79" s="5">
        <v>-19.241999999999997</v>
      </c>
      <c r="K79" s="5">
        <v>5596.8322085599957</v>
      </c>
      <c r="L79" s="5">
        <v>-600.56999999999971</v>
      </c>
      <c r="M79" s="5">
        <v>0.28500000000008185</v>
      </c>
      <c r="N79" s="5">
        <v>2446.5772658499995</v>
      </c>
      <c r="O79" s="5">
        <v>-199.62</v>
      </c>
      <c r="P79" s="5">
        <v>0</v>
      </c>
      <c r="Q79" s="5" t="s">
        <v>98</v>
      </c>
      <c r="R79" s="5">
        <v>0</v>
      </c>
      <c r="S79" s="5"/>
      <c r="T79" s="5"/>
      <c r="U79" s="5"/>
      <c r="V79" s="5">
        <v>1646.6722658499998</v>
      </c>
      <c r="W79" s="5">
        <v>7243.504474409996</v>
      </c>
      <c r="X79" s="5">
        <v>7289.8419925551561</v>
      </c>
      <c r="Y79" s="5">
        <v>200</v>
      </c>
      <c r="Z79" s="5">
        <v>0</v>
      </c>
      <c r="AA79" s="5">
        <v>14779.094217849997</v>
      </c>
      <c r="AB79" s="5">
        <v>-199.62</v>
      </c>
      <c r="AC79" s="5">
        <v>0</v>
      </c>
      <c r="AD79" s="5" t="s">
        <v>98</v>
      </c>
      <c r="AE79" s="5">
        <v>0</v>
      </c>
      <c r="AF79" s="5"/>
      <c r="AG79" s="5"/>
      <c r="AH79" s="5"/>
      <c r="AI79" s="5">
        <v>14779.474217849996</v>
      </c>
      <c r="AJ79" s="5"/>
      <c r="AK79" s="5"/>
      <c r="AL79" s="5"/>
      <c r="AM79" s="5"/>
      <c r="AN79" s="85"/>
    </row>
    <row r="80" spans="1:40" s="80" customFormat="1" ht="12" customHeight="1" x14ac:dyDescent="0.2">
      <c r="A80" s="75">
        <v>41671</v>
      </c>
      <c r="B80" s="5">
        <v>7244</v>
      </c>
      <c r="C80" s="5">
        <v>610.4922094500015</v>
      </c>
      <c r="D80" s="5">
        <v>-4.4807136900001012</v>
      </c>
      <c r="E80" s="5">
        <v>-51.41</v>
      </c>
      <c r="F80" s="5">
        <v>0</v>
      </c>
      <c r="G80" s="5">
        <v>-550.99199999999996</v>
      </c>
      <c r="H80" s="5">
        <v>600</v>
      </c>
      <c r="I80" s="5">
        <v>0</v>
      </c>
      <c r="J80" s="5">
        <v>-22.594000000000001</v>
      </c>
      <c r="K80" s="5">
        <v>7825.0154957600016</v>
      </c>
      <c r="L80" s="5">
        <v>-0.79700000000002547</v>
      </c>
      <c r="M80" s="5">
        <v>0.19000000000005457</v>
      </c>
      <c r="N80" s="5">
        <v>-612.10637485000098</v>
      </c>
      <c r="O80" s="5">
        <v>100.048</v>
      </c>
      <c r="P80" s="5">
        <v>0</v>
      </c>
      <c r="Q80" s="5" t="s">
        <v>98</v>
      </c>
      <c r="R80" s="5">
        <v>0</v>
      </c>
      <c r="S80" s="5"/>
      <c r="T80" s="5"/>
      <c r="U80" s="5"/>
      <c r="V80" s="5">
        <v>-512.66537485000094</v>
      </c>
      <c r="W80" s="5">
        <v>7312</v>
      </c>
      <c r="X80" s="5">
        <v>7288.3046192629945</v>
      </c>
      <c r="Y80" s="5">
        <v>200</v>
      </c>
      <c r="Z80" s="5">
        <v>0</v>
      </c>
      <c r="AA80" s="5">
        <v>14178.585842999997</v>
      </c>
      <c r="AB80" s="5">
        <v>-99.572000000000003</v>
      </c>
      <c r="AC80" s="5">
        <v>0</v>
      </c>
      <c r="AD80" s="5" t="s">
        <v>98</v>
      </c>
      <c r="AE80" s="5">
        <v>0</v>
      </c>
      <c r="AF80" s="5"/>
      <c r="AG80" s="5"/>
      <c r="AH80" s="5"/>
      <c r="AI80" s="5">
        <v>14279.013842999997</v>
      </c>
      <c r="AJ80" s="5"/>
      <c r="AK80" s="5"/>
      <c r="AL80" s="5"/>
      <c r="AM80" s="5"/>
      <c r="AN80" s="85"/>
    </row>
    <row r="81" spans="1:40" s="1" customFormat="1" ht="12" customHeight="1" x14ac:dyDescent="0.2">
      <c r="A81" s="75">
        <v>41699</v>
      </c>
      <c r="B81" s="5">
        <v>7312</v>
      </c>
      <c r="C81" s="5">
        <v>667.48442805999673</v>
      </c>
      <c r="D81" s="5">
        <v>28.998274569999992</v>
      </c>
      <c r="E81" s="5">
        <v>-392.21600000000001</v>
      </c>
      <c r="F81" s="5">
        <v>0</v>
      </c>
      <c r="G81" s="5">
        <v>-535.09699999999998</v>
      </c>
      <c r="H81" s="5">
        <v>600</v>
      </c>
      <c r="I81" s="5">
        <v>0</v>
      </c>
      <c r="J81" s="5">
        <v>-14.213000000000005</v>
      </c>
      <c r="K81" s="5">
        <v>7666.9567026299965</v>
      </c>
      <c r="L81" s="5">
        <v>79.960000000000036</v>
      </c>
      <c r="M81" s="5">
        <v>0</v>
      </c>
      <c r="N81" s="5">
        <v>-836.09099999999762</v>
      </c>
      <c r="O81" s="5">
        <v>-199.947</v>
      </c>
      <c r="P81" s="5">
        <v>0</v>
      </c>
      <c r="Q81" s="5" t="s">
        <v>98</v>
      </c>
      <c r="R81" s="5">
        <v>0</v>
      </c>
      <c r="S81" s="5"/>
      <c r="T81" s="5"/>
      <c r="U81" s="5"/>
      <c r="V81" s="5">
        <v>-956.07799999999759</v>
      </c>
      <c r="W81" s="5">
        <v>6710.8787026299988</v>
      </c>
      <c r="X81" s="5">
        <v>7387.9727562558573</v>
      </c>
      <c r="Y81" s="5">
        <v>280</v>
      </c>
      <c r="Z81" s="5">
        <v>0</v>
      </c>
      <c r="AA81" s="5">
        <v>13358.875842999998</v>
      </c>
      <c r="AB81" s="5">
        <v>-299.51900000000001</v>
      </c>
      <c r="AC81" s="5">
        <v>0</v>
      </c>
      <c r="AD81" s="5" t="s">
        <v>98</v>
      </c>
      <c r="AE81" s="5">
        <v>0</v>
      </c>
      <c r="AF81" s="5"/>
      <c r="AG81" s="5"/>
      <c r="AH81" s="5"/>
      <c r="AI81" s="5">
        <v>13339.356842999998</v>
      </c>
      <c r="AJ81" s="5"/>
      <c r="AK81" s="5"/>
      <c r="AL81" s="5"/>
      <c r="AM81" s="5"/>
      <c r="AN81" s="85"/>
    </row>
    <row r="82" spans="1:40" s="1" customFormat="1" ht="12" customHeight="1" x14ac:dyDescent="0.2">
      <c r="A82" s="75">
        <v>41730</v>
      </c>
      <c r="B82" s="5">
        <v>6711</v>
      </c>
      <c r="C82" s="5">
        <v>1929.5663401599991</v>
      </c>
      <c r="D82" s="5">
        <v>-202.77939205999999</v>
      </c>
      <c r="E82" s="5">
        <v>-575.99838262000003</v>
      </c>
      <c r="F82" s="5">
        <v>1025.79</v>
      </c>
      <c r="G82" s="5">
        <v>-672.71399999999994</v>
      </c>
      <c r="H82" s="5">
        <v>400</v>
      </c>
      <c r="I82" s="5">
        <v>0</v>
      </c>
      <c r="J82" s="5">
        <v>-14.247</v>
      </c>
      <c r="K82" s="5">
        <v>8600.617565479999</v>
      </c>
      <c r="L82" s="5">
        <v>-280.73</v>
      </c>
      <c r="M82" s="5">
        <v>-207.05999999999995</v>
      </c>
      <c r="N82" s="5">
        <v>-1452.4672670000004</v>
      </c>
      <c r="O82" s="5">
        <v>300.16300000000001</v>
      </c>
      <c r="P82" s="5">
        <v>0</v>
      </c>
      <c r="Q82" s="5" t="s">
        <v>98</v>
      </c>
      <c r="R82" s="5">
        <v>0</v>
      </c>
      <c r="S82" s="5"/>
      <c r="T82" s="5"/>
      <c r="U82" s="5"/>
      <c r="V82" s="5">
        <v>-1640.0942670000004</v>
      </c>
      <c r="W82" s="5">
        <v>6960.5232984799986</v>
      </c>
      <c r="X82" s="5">
        <v>7249.3142813524055</v>
      </c>
      <c r="Y82" s="5">
        <v>0</v>
      </c>
      <c r="Z82" s="5">
        <v>-207</v>
      </c>
      <c r="AA82" s="5">
        <v>11919.715575999997</v>
      </c>
      <c r="AB82" s="5">
        <v>0</v>
      </c>
      <c r="AC82" s="5">
        <v>0</v>
      </c>
      <c r="AD82" s="5" t="s">
        <v>98</v>
      </c>
      <c r="AE82" s="5">
        <v>0</v>
      </c>
      <c r="AF82" s="5"/>
      <c r="AG82" s="5"/>
      <c r="AH82" s="5"/>
      <c r="AI82" s="5">
        <v>11712.715575999997</v>
      </c>
      <c r="AJ82" s="5"/>
      <c r="AK82" s="5"/>
      <c r="AL82" s="5"/>
      <c r="AM82" s="5"/>
      <c r="AN82" s="85"/>
    </row>
    <row r="83" spans="1:40" s="1" customFormat="1" ht="12" customHeight="1" x14ac:dyDescent="0.2">
      <c r="A83" s="75">
        <v>41760</v>
      </c>
      <c r="B83" s="5">
        <v>6960.5178233199913</v>
      </c>
      <c r="C83" s="5">
        <v>-2459.4631449100016</v>
      </c>
      <c r="D83" s="5">
        <v>94.083119000000025</v>
      </c>
      <c r="E83" s="5">
        <v>-408.53</v>
      </c>
      <c r="F83" s="5">
        <v>1027.1790000000001</v>
      </c>
      <c r="G83" s="5">
        <v>-395.17899999999997</v>
      </c>
      <c r="H83" s="5">
        <v>600</v>
      </c>
      <c r="I83" s="5">
        <v>0</v>
      </c>
      <c r="J83" s="5">
        <v>29.850999999999999</v>
      </c>
      <c r="K83" s="5">
        <v>5448.4587974099895</v>
      </c>
      <c r="L83" s="5">
        <v>99.839999999999918</v>
      </c>
      <c r="M83" s="5">
        <v>207.60000000000014</v>
      </c>
      <c r="N83" s="5">
        <v>1410.5420000000006</v>
      </c>
      <c r="O83" s="5">
        <v>-200</v>
      </c>
      <c r="P83" s="5">
        <v>0</v>
      </c>
      <c r="Q83" s="5" t="s">
        <v>98</v>
      </c>
      <c r="R83" s="5">
        <v>0</v>
      </c>
      <c r="S83" s="5"/>
      <c r="T83" s="5"/>
      <c r="U83" s="5"/>
      <c r="V83" s="5">
        <v>1517.9820000000007</v>
      </c>
      <c r="W83" s="5">
        <v>6966.4407974099904</v>
      </c>
      <c r="X83" s="5">
        <v>7338.3032303834279</v>
      </c>
      <c r="Y83" s="5">
        <v>100</v>
      </c>
      <c r="Z83" s="5">
        <v>0</v>
      </c>
      <c r="AA83" s="5">
        <v>13341.228575999994</v>
      </c>
      <c r="AB83" s="5">
        <v>-200.35599999999999</v>
      </c>
      <c r="AC83" s="5">
        <v>0</v>
      </c>
      <c r="AD83" s="5" t="s">
        <v>98</v>
      </c>
      <c r="AE83" s="5">
        <v>0</v>
      </c>
      <c r="AF83" s="5"/>
      <c r="AG83" s="5"/>
      <c r="AH83" s="5"/>
      <c r="AI83" s="5">
        <v>13240.872575999994</v>
      </c>
      <c r="AJ83" s="5"/>
      <c r="AK83" s="5"/>
      <c r="AL83" s="5"/>
      <c r="AM83" s="5"/>
      <c r="AN83" s="85"/>
    </row>
    <row r="84" spans="1:40" s="1" customFormat="1" ht="12" customHeight="1" x14ac:dyDescent="0.2">
      <c r="A84" s="75">
        <v>41791</v>
      </c>
      <c r="B84" s="5">
        <v>6966</v>
      </c>
      <c r="C84" s="5">
        <v>859.06292333000124</v>
      </c>
      <c r="D84" s="5">
        <v>42.952703659999976</v>
      </c>
      <c r="E84" s="5">
        <v>-282.80900000000003</v>
      </c>
      <c r="F84" s="5">
        <v>0</v>
      </c>
      <c r="G84" s="5">
        <v>-395.12099999999998</v>
      </c>
      <c r="H84" s="5">
        <v>600</v>
      </c>
      <c r="I84" s="5">
        <v>0</v>
      </c>
      <c r="J84" s="5">
        <v>-49.418000000000006</v>
      </c>
      <c r="K84" s="5">
        <v>7740.6676269900017</v>
      </c>
      <c r="L84" s="5">
        <v>100</v>
      </c>
      <c r="M84" s="5">
        <v>0.18000000000029104</v>
      </c>
      <c r="N84" s="5">
        <v>69.864999999997053</v>
      </c>
      <c r="O84" s="5">
        <v>200</v>
      </c>
      <c r="P84" s="5">
        <v>0</v>
      </c>
      <c r="Q84" s="5" t="s">
        <v>98</v>
      </c>
      <c r="R84" s="5">
        <v>0</v>
      </c>
      <c r="S84" s="5"/>
      <c r="T84" s="5"/>
      <c r="U84" s="5"/>
      <c r="V84" s="5">
        <v>370.04499999999734</v>
      </c>
      <c r="W84" s="5">
        <v>8110.7126269899991</v>
      </c>
      <c r="X84" s="5">
        <v>7408.4800392303241</v>
      </c>
      <c r="Y84" s="5">
        <v>200</v>
      </c>
      <c r="Z84" s="5">
        <v>0</v>
      </c>
      <c r="AA84" s="5">
        <v>13427.978575999994</v>
      </c>
      <c r="AB84" s="5">
        <v>-0.35599999999999454</v>
      </c>
      <c r="AC84" s="5">
        <v>5</v>
      </c>
      <c r="AD84" s="5" t="s">
        <v>98</v>
      </c>
      <c r="AE84" s="5">
        <v>0</v>
      </c>
      <c r="AF84" s="5"/>
      <c r="AG84" s="5"/>
      <c r="AH84" s="5"/>
      <c r="AI84" s="5">
        <v>13632.622575999994</v>
      </c>
      <c r="AJ84" s="5"/>
      <c r="AK84" s="5"/>
      <c r="AL84" s="5"/>
      <c r="AM84" s="5"/>
      <c r="AN84" s="85"/>
    </row>
    <row r="85" spans="1:40" s="1" customFormat="1" ht="12" customHeight="1" x14ac:dyDescent="0.2">
      <c r="A85" s="75">
        <v>41821</v>
      </c>
      <c r="B85" s="5">
        <v>8111.1534243999895</v>
      </c>
      <c r="C85" s="5">
        <v>2019.8528030100006</v>
      </c>
      <c r="D85" s="5">
        <v>84.698860150000002</v>
      </c>
      <c r="E85" s="5">
        <v>-1866.9079999999999</v>
      </c>
      <c r="F85" s="5">
        <v>0</v>
      </c>
      <c r="G85" s="5">
        <v>-490.97999999999996</v>
      </c>
      <c r="H85" s="5">
        <v>540</v>
      </c>
      <c r="I85" s="5">
        <v>0</v>
      </c>
      <c r="J85" s="5">
        <v>-17.239000000000001</v>
      </c>
      <c r="K85" s="5">
        <v>8380.5780875599921</v>
      </c>
      <c r="L85" s="5">
        <v>99.950000000000045</v>
      </c>
      <c r="M85" s="5">
        <v>0.14999999999918145</v>
      </c>
      <c r="N85" s="5">
        <v>-828.30100000000039</v>
      </c>
      <c r="O85" s="5">
        <v>-199.86500000000001</v>
      </c>
      <c r="P85" s="5">
        <v>0</v>
      </c>
      <c r="Q85" s="5" t="s">
        <v>98</v>
      </c>
      <c r="R85" s="5">
        <v>0</v>
      </c>
      <c r="S85" s="5"/>
      <c r="T85" s="5"/>
      <c r="U85" s="5"/>
      <c r="V85" s="5">
        <v>-928.06600000000117</v>
      </c>
      <c r="W85" s="5">
        <v>7453</v>
      </c>
      <c r="X85" s="5">
        <v>7758.7023134122492</v>
      </c>
      <c r="Y85" s="5">
        <v>300</v>
      </c>
      <c r="Z85" s="5">
        <v>0</v>
      </c>
      <c r="AA85" s="5">
        <v>12612.426575999996</v>
      </c>
      <c r="AB85" s="5">
        <v>-199.86500000000001</v>
      </c>
      <c r="AC85" s="5">
        <v>0</v>
      </c>
      <c r="AD85" s="5" t="s">
        <v>98</v>
      </c>
      <c r="AE85" s="5">
        <v>0</v>
      </c>
      <c r="AF85" s="5"/>
      <c r="AG85" s="5"/>
      <c r="AH85" s="5"/>
      <c r="AI85" s="5">
        <v>12712.561575999996</v>
      </c>
      <c r="AJ85" s="5"/>
      <c r="AK85" s="5"/>
      <c r="AL85" s="5"/>
      <c r="AM85" s="5"/>
      <c r="AN85" s="85"/>
    </row>
    <row r="86" spans="1:40" s="1" customFormat="1" ht="12" customHeight="1" x14ac:dyDescent="0.2">
      <c r="A86" s="75">
        <v>41852</v>
      </c>
      <c r="B86" s="5">
        <v>7453.0830875599931</v>
      </c>
      <c r="C86" s="5">
        <v>-1234.5563105000003</v>
      </c>
      <c r="D86" s="5">
        <v>8.123556280000102</v>
      </c>
      <c r="E86" s="5">
        <v>-403.62400000000002</v>
      </c>
      <c r="F86" s="5">
        <v>0</v>
      </c>
      <c r="G86" s="5">
        <v>-587.68000000000006</v>
      </c>
      <c r="H86" s="5">
        <v>560</v>
      </c>
      <c r="I86" s="5">
        <v>0</v>
      </c>
      <c r="J86" s="5">
        <v>374.22199999999998</v>
      </c>
      <c r="K86" s="5">
        <v>6169.5683333399929</v>
      </c>
      <c r="L86" s="5">
        <v>-0.14400000000000546</v>
      </c>
      <c r="M86" s="5">
        <v>0.63000000000010914</v>
      </c>
      <c r="N86" s="5">
        <v>1307.1509999999998</v>
      </c>
      <c r="O86" s="5">
        <v>0</v>
      </c>
      <c r="P86" s="5">
        <v>0</v>
      </c>
      <c r="Q86" s="5" t="s">
        <v>98</v>
      </c>
      <c r="R86" s="5">
        <v>0</v>
      </c>
      <c r="S86" s="5"/>
      <c r="T86" s="5"/>
      <c r="U86" s="5"/>
      <c r="V86" s="5">
        <v>1307.6369999999999</v>
      </c>
      <c r="W86" s="5">
        <v>7477</v>
      </c>
      <c r="X86" s="5">
        <v>7885.3943300645105</v>
      </c>
      <c r="Y86" s="5">
        <v>300</v>
      </c>
      <c r="Z86" s="5">
        <v>0</v>
      </c>
      <c r="AA86" s="5">
        <v>13931.202575999996</v>
      </c>
      <c r="AB86" s="5">
        <v>-200</v>
      </c>
      <c r="AC86" s="5">
        <v>0</v>
      </c>
      <c r="AD86" s="5" t="s">
        <v>98</v>
      </c>
      <c r="AE86" s="5">
        <v>0</v>
      </c>
      <c r="AF86" s="5"/>
      <c r="AG86" s="5"/>
      <c r="AH86" s="5"/>
      <c r="AI86" s="5">
        <v>14031.202575999996</v>
      </c>
      <c r="AJ86" s="5"/>
      <c r="AK86" s="5"/>
      <c r="AL86" s="5"/>
      <c r="AM86" s="5"/>
      <c r="AN86" s="85"/>
    </row>
    <row r="87" spans="1:40" s="80" customFormat="1" ht="12" customHeight="1" x14ac:dyDescent="0.2">
      <c r="A87" s="75">
        <v>41883</v>
      </c>
      <c r="B87" s="5">
        <v>7477</v>
      </c>
      <c r="C87" s="5">
        <v>1471.855908460001</v>
      </c>
      <c r="D87" s="5">
        <v>-14.693592769999995</v>
      </c>
      <c r="E87" s="5">
        <v>620.14999999999986</v>
      </c>
      <c r="F87" s="5">
        <v>0</v>
      </c>
      <c r="G87" s="5">
        <v>-587.87200000000007</v>
      </c>
      <c r="H87" s="5">
        <v>440</v>
      </c>
      <c r="I87" s="5">
        <v>0</v>
      </c>
      <c r="J87" s="5">
        <v>96.759</v>
      </c>
      <c r="K87" s="5">
        <v>9503.1993156900025</v>
      </c>
      <c r="L87" s="5">
        <v>-300.03999999999996</v>
      </c>
      <c r="M87" s="5">
        <v>0.35999999999967258</v>
      </c>
      <c r="N87" s="5">
        <v>-1291.8309999999992</v>
      </c>
      <c r="O87" s="5">
        <v>200</v>
      </c>
      <c r="P87" s="5">
        <v>0</v>
      </c>
      <c r="Q87" s="5" t="s">
        <v>98</v>
      </c>
      <c r="R87" s="5">
        <v>0</v>
      </c>
      <c r="S87" s="5"/>
      <c r="T87" s="5"/>
      <c r="U87" s="5"/>
      <c r="V87" s="5">
        <v>-1391.5109999999995</v>
      </c>
      <c r="W87" s="5">
        <v>8112</v>
      </c>
      <c r="X87" s="5">
        <v>7902.8927234739949</v>
      </c>
      <c r="Y87" s="5">
        <v>0</v>
      </c>
      <c r="Z87" s="5">
        <v>0</v>
      </c>
      <c r="AA87" s="5">
        <v>13158.362575999996</v>
      </c>
      <c r="AB87" s="5">
        <v>0</v>
      </c>
      <c r="AC87" s="5">
        <v>0</v>
      </c>
      <c r="AD87" s="5" t="s">
        <v>98</v>
      </c>
      <c r="AE87" s="5">
        <v>0</v>
      </c>
      <c r="AF87" s="5"/>
      <c r="AG87" s="5"/>
      <c r="AH87" s="5"/>
      <c r="AI87" s="5">
        <v>13158.362575999996</v>
      </c>
      <c r="AJ87" s="5"/>
      <c r="AK87" s="5"/>
      <c r="AL87" s="5"/>
      <c r="AM87" s="5"/>
      <c r="AN87" s="85"/>
    </row>
    <row r="88" spans="1:40" s="1" customFormat="1" ht="12" customHeight="1" x14ac:dyDescent="0.2">
      <c r="A88" s="75">
        <v>41913</v>
      </c>
      <c r="B88" s="5">
        <v>8111.5334595299946</v>
      </c>
      <c r="C88" s="5">
        <v>-783.46166388666552</v>
      </c>
      <c r="D88" s="5">
        <v>218.39168157</v>
      </c>
      <c r="E88" s="5">
        <v>-419.56599999999997</v>
      </c>
      <c r="F88" s="5">
        <v>0</v>
      </c>
      <c r="G88" s="5">
        <v>-1058.953</v>
      </c>
      <c r="H88" s="5">
        <v>760</v>
      </c>
      <c r="I88" s="5">
        <v>0</v>
      </c>
      <c r="J88" s="5">
        <v>-32.607999999999997</v>
      </c>
      <c r="K88" s="5">
        <v>6795.33647721333</v>
      </c>
      <c r="L88" s="5">
        <v>400</v>
      </c>
      <c r="M88" s="5">
        <v>-102.15000000000236</v>
      </c>
      <c r="N88" s="5">
        <v>1393.3669999999966</v>
      </c>
      <c r="O88" s="5">
        <v>-299.59999999999991</v>
      </c>
      <c r="P88" s="5">
        <v>0</v>
      </c>
      <c r="Q88" s="5" t="s">
        <v>98</v>
      </c>
      <c r="R88" s="5">
        <v>0</v>
      </c>
      <c r="S88" s="5"/>
      <c r="T88" s="5"/>
      <c r="U88" s="5"/>
      <c r="V88" s="5">
        <v>1391.6169999999943</v>
      </c>
      <c r="W88" s="5">
        <v>8187</v>
      </c>
      <c r="X88" s="5">
        <v>8291.2585311947278</v>
      </c>
      <c r="Y88" s="5">
        <v>400</v>
      </c>
      <c r="Z88" s="5">
        <v>-102.36</v>
      </c>
      <c r="AA88" s="5">
        <v>14069.595575999994</v>
      </c>
      <c r="AB88" s="5">
        <v>-299.59999999999997</v>
      </c>
      <c r="AC88" s="5">
        <v>0</v>
      </c>
      <c r="AD88" s="5" t="s">
        <v>98</v>
      </c>
      <c r="AE88" s="5">
        <v>0</v>
      </c>
      <c r="AF88" s="5"/>
      <c r="AG88" s="5"/>
      <c r="AH88" s="5"/>
      <c r="AI88" s="5">
        <v>14067.635575999993</v>
      </c>
      <c r="AJ88" s="5"/>
      <c r="AK88" s="5"/>
      <c r="AL88" s="5"/>
      <c r="AM88" s="5"/>
      <c r="AN88" s="85"/>
    </row>
    <row r="89" spans="1:40" s="1" customFormat="1" ht="12" customHeight="1" x14ac:dyDescent="0.2">
      <c r="A89" s="75">
        <v>41971</v>
      </c>
      <c r="B89" s="5">
        <v>8186.6303227233293</v>
      </c>
      <c r="C89" s="5">
        <v>1385.4498317700002</v>
      </c>
      <c r="D89" s="5">
        <v>921.98615251000001</v>
      </c>
      <c r="E89" s="5">
        <v>-1867.652</v>
      </c>
      <c r="F89" s="5">
        <v>0</v>
      </c>
      <c r="G89" s="5">
        <v>-792.19299999999998</v>
      </c>
      <c r="H89" s="5">
        <v>560</v>
      </c>
      <c r="I89" s="5">
        <v>0</v>
      </c>
      <c r="J89" s="5">
        <v>-40.880244189999999</v>
      </c>
      <c r="K89" s="5">
        <v>8353.3410628133279</v>
      </c>
      <c r="L89" s="5">
        <v>-400</v>
      </c>
      <c r="M89" s="5">
        <v>102.48999999999978</v>
      </c>
      <c r="N89" s="5">
        <v>-97.76799999999912</v>
      </c>
      <c r="O89" s="5">
        <v>-99.799999999999955</v>
      </c>
      <c r="P89" s="5">
        <v>0</v>
      </c>
      <c r="Q89" s="5" t="s">
        <v>98</v>
      </c>
      <c r="R89" s="5">
        <v>0</v>
      </c>
      <c r="S89" s="5"/>
      <c r="T89" s="5"/>
      <c r="U89" s="5"/>
      <c r="V89" s="5">
        <v>-495.07799999999929</v>
      </c>
      <c r="W89" s="5">
        <v>7858</v>
      </c>
      <c r="X89" s="5">
        <v>7914.4417127083307</v>
      </c>
      <c r="Y89" s="5">
        <v>0</v>
      </c>
      <c r="Z89" s="5">
        <v>0</v>
      </c>
      <c r="AA89" s="5">
        <v>13986.385575999995</v>
      </c>
      <c r="AB89" s="5">
        <v>-399.4</v>
      </c>
      <c r="AC89" s="5">
        <v>0</v>
      </c>
      <c r="AD89" s="5" t="s">
        <v>98</v>
      </c>
      <c r="AE89" s="5">
        <v>0</v>
      </c>
      <c r="AF89" s="5"/>
      <c r="AG89" s="5"/>
      <c r="AH89" s="5"/>
      <c r="AI89" s="5">
        <v>13586.985575999995</v>
      </c>
      <c r="AJ89" s="5"/>
      <c r="AK89" s="5"/>
      <c r="AL89" s="5"/>
      <c r="AM89" s="5"/>
      <c r="AN89" s="85"/>
    </row>
    <row r="90" spans="1:40" s="1" customFormat="1" ht="12" customHeight="1" x14ac:dyDescent="0.2">
      <c r="A90" s="75">
        <v>42004</v>
      </c>
      <c r="B90" s="5">
        <v>7858.0861094333313</v>
      </c>
      <c r="C90" s="5">
        <v>3923.01355625</v>
      </c>
      <c r="D90" s="5">
        <v>-600.54977772000007</v>
      </c>
      <c r="E90" s="5">
        <v>-429.69200000000001</v>
      </c>
      <c r="F90" s="5">
        <v>0</v>
      </c>
      <c r="G90" s="5">
        <v>-400</v>
      </c>
      <c r="H90" s="5">
        <v>660</v>
      </c>
      <c r="I90" s="5">
        <v>0</v>
      </c>
      <c r="J90" s="5">
        <v>-41.525999999999996</v>
      </c>
      <c r="K90" s="5">
        <v>10969.331887963332</v>
      </c>
      <c r="L90" s="5">
        <v>0</v>
      </c>
      <c r="M90" s="5">
        <v>0.17000000000007276</v>
      </c>
      <c r="N90" s="5">
        <v>-2582.7290000000048</v>
      </c>
      <c r="O90" s="5">
        <v>-500</v>
      </c>
      <c r="P90" s="5">
        <v>0</v>
      </c>
      <c r="Q90" s="5" t="s">
        <v>98</v>
      </c>
      <c r="R90" s="5">
        <v>0</v>
      </c>
      <c r="S90" s="5"/>
      <c r="T90" s="5"/>
      <c r="U90" s="5"/>
      <c r="V90" s="5">
        <v>-3082.5590000000047</v>
      </c>
      <c r="W90" s="5">
        <v>7887</v>
      </c>
      <c r="X90" s="5">
        <v>8139.9741471681109</v>
      </c>
      <c r="Y90" s="5">
        <v>0</v>
      </c>
      <c r="Z90" s="5">
        <v>0</v>
      </c>
      <c r="AA90" s="5">
        <v>11433.877575999995</v>
      </c>
      <c r="AB90" s="5">
        <v>-899.4</v>
      </c>
      <c r="AC90" s="5">
        <v>0</v>
      </c>
      <c r="AD90" s="5" t="s">
        <v>98</v>
      </c>
      <c r="AE90" s="5">
        <v>0</v>
      </c>
      <c r="AF90" s="5"/>
      <c r="AG90" s="5"/>
      <c r="AH90" s="5"/>
      <c r="AI90" s="5">
        <v>10534.477575999996</v>
      </c>
      <c r="AJ90" s="5"/>
      <c r="AK90" s="5"/>
      <c r="AL90" s="5"/>
      <c r="AM90" s="5"/>
      <c r="AN90" s="85"/>
    </row>
    <row r="91" spans="1:40" s="1" customFormat="1" ht="12" customHeight="1" x14ac:dyDescent="0.2">
      <c r="A91" s="75">
        <v>42034</v>
      </c>
      <c r="B91" s="5">
        <v>7886.9109646133284</v>
      </c>
      <c r="C91" s="5">
        <v>-5137.9349161400005</v>
      </c>
      <c r="D91" s="5">
        <v>440.58152088667191</v>
      </c>
      <c r="E91" s="5">
        <v>0</v>
      </c>
      <c r="F91" s="5">
        <v>0</v>
      </c>
      <c r="G91" s="5">
        <v>0</v>
      </c>
      <c r="H91" s="5">
        <v>400</v>
      </c>
      <c r="I91" s="5">
        <v>0</v>
      </c>
      <c r="J91" s="5">
        <v>-27.396999999999998</v>
      </c>
      <c r="K91" s="5">
        <v>3562.16056936</v>
      </c>
      <c r="L91" s="5">
        <v>0</v>
      </c>
      <c r="M91" s="5">
        <v>-771.51000000000022</v>
      </c>
      <c r="N91" s="5">
        <v>4440.3494306399998</v>
      </c>
      <c r="O91" s="5">
        <v>400</v>
      </c>
      <c r="P91" s="5">
        <v>0</v>
      </c>
      <c r="Q91" s="5" t="s">
        <v>98</v>
      </c>
      <c r="R91" s="5">
        <v>0</v>
      </c>
      <c r="S91" s="5"/>
      <c r="T91" s="5"/>
      <c r="U91" s="5"/>
      <c r="V91" s="5">
        <v>4068.8394306399996</v>
      </c>
      <c r="W91" s="5">
        <v>7631</v>
      </c>
      <c r="X91" s="5">
        <v>7975.5367856487837</v>
      </c>
      <c r="Y91" s="5">
        <v>0</v>
      </c>
      <c r="Z91" s="5">
        <v>-771</v>
      </c>
      <c r="AA91" s="5">
        <v>15883.218406639995</v>
      </c>
      <c r="AB91" s="5">
        <v>-499.4</v>
      </c>
      <c r="AC91" s="5">
        <v>0</v>
      </c>
      <c r="AD91" s="5" t="s">
        <v>98</v>
      </c>
      <c r="AE91" s="5">
        <v>0</v>
      </c>
      <c r="AF91" s="5"/>
      <c r="AG91" s="5"/>
      <c r="AH91" s="5"/>
      <c r="AI91" s="5">
        <v>14612.818406639995</v>
      </c>
      <c r="AJ91" s="5"/>
      <c r="AK91" s="5"/>
      <c r="AL91" s="5"/>
      <c r="AM91" s="5"/>
      <c r="AN91" s="85"/>
    </row>
    <row r="92" spans="1:40" s="1" customFormat="1" ht="12" customHeight="1" x14ac:dyDescent="0.2">
      <c r="A92" s="75">
        <v>42062</v>
      </c>
      <c r="B92" s="5">
        <v>7631</v>
      </c>
      <c r="C92" s="5">
        <v>1261.1181382400011</v>
      </c>
      <c r="D92" s="5">
        <v>-70.511220716673336</v>
      </c>
      <c r="E92" s="5">
        <v>-451.88768403</v>
      </c>
      <c r="F92" s="5">
        <v>0</v>
      </c>
      <c r="G92" s="5">
        <v>-1573.7143096599998</v>
      </c>
      <c r="H92" s="5">
        <v>545</v>
      </c>
      <c r="I92" s="5">
        <v>0</v>
      </c>
      <c r="J92" s="5">
        <v>-20.955000000000002</v>
      </c>
      <c r="K92" s="5">
        <v>7320.0499238333286</v>
      </c>
      <c r="L92" s="5">
        <v>0</v>
      </c>
      <c r="M92" s="5">
        <v>773.11146999999983</v>
      </c>
      <c r="N92" s="5">
        <v>-340.83813868999823</v>
      </c>
      <c r="O92" s="5">
        <v>-200</v>
      </c>
      <c r="P92" s="5">
        <v>0</v>
      </c>
      <c r="Q92" s="5" t="s">
        <v>98</v>
      </c>
      <c r="R92" s="5">
        <v>0</v>
      </c>
      <c r="S92" s="5"/>
      <c r="T92" s="5"/>
      <c r="U92" s="5"/>
      <c r="V92" s="5">
        <v>232.27333131000159</v>
      </c>
      <c r="W92" s="5">
        <v>7552.3232551433302</v>
      </c>
      <c r="X92" s="5">
        <v>8307.8822085503307</v>
      </c>
      <c r="Y92" s="5">
        <v>0</v>
      </c>
      <c r="Z92" s="5">
        <v>0</v>
      </c>
      <c r="AA92" s="5">
        <v>15555.147267949997</v>
      </c>
      <c r="AB92" s="5">
        <v>-699.4</v>
      </c>
      <c r="AC92" s="5">
        <v>0</v>
      </c>
      <c r="AD92" s="5" t="s">
        <v>98</v>
      </c>
      <c r="AE92" s="5">
        <v>0</v>
      </c>
      <c r="AF92" s="5"/>
      <c r="AG92" s="5"/>
      <c r="AH92" s="5"/>
      <c r="AI92" s="5">
        <v>14855.747267949997</v>
      </c>
      <c r="AJ92" s="5"/>
      <c r="AK92" s="5"/>
      <c r="AL92" s="5"/>
      <c r="AM92" s="5"/>
      <c r="AN92" s="85"/>
    </row>
    <row r="93" spans="1:40" s="1" customFormat="1" ht="12" customHeight="1" x14ac:dyDescent="0.2">
      <c r="A93" s="75">
        <v>42094</v>
      </c>
      <c r="B93" s="5">
        <v>7552.3232551433302</v>
      </c>
      <c r="C93" s="5">
        <v>123.86832252000056</v>
      </c>
      <c r="D93" s="5">
        <v>374.7298024099947</v>
      </c>
      <c r="E93" s="5">
        <v>-445.26780403999999</v>
      </c>
      <c r="F93" s="5">
        <v>0</v>
      </c>
      <c r="G93" s="5">
        <v>-1569.6410000000001</v>
      </c>
      <c r="H93" s="5">
        <v>740</v>
      </c>
      <c r="I93" s="5">
        <v>0</v>
      </c>
      <c r="J93" s="5">
        <v>-47.59899999999999</v>
      </c>
      <c r="K93" s="5">
        <v>6728.4135760333247</v>
      </c>
      <c r="L93" s="5">
        <v>270</v>
      </c>
      <c r="M93" s="5">
        <v>0</v>
      </c>
      <c r="N93" s="5">
        <v>704.19600000000082</v>
      </c>
      <c r="O93" s="5">
        <v>300</v>
      </c>
      <c r="P93" s="5">
        <v>0</v>
      </c>
      <c r="Q93" s="5" t="s">
        <v>98</v>
      </c>
      <c r="R93" s="5">
        <v>0</v>
      </c>
      <c r="S93" s="5"/>
      <c r="T93" s="5"/>
      <c r="U93" s="5"/>
      <c r="V93" s="5">
        <v>1274.1960000000008</v>
      </c>
      <c r="W93" s="5">
        <v>8002.6095760333255</v>
      </c>
      <c r="X93" s="5">
        <v>7894.4106525956013</v>
      </c>
      <c r="Y93" s="5">
        <v>270</v>
      </c>
      <c r="Z93" s="5">
        <v>0</v>
      </c>
      <c r="AA93" s="5">
        <v>14796.434267949997</v>
      </c>
      <c r="AB93" s="5">
        <v>-399.4</v>
      </c>
      <c r="AC93" s="5">
        <v>0</v>
      </c>
      <c r="AD93" s="5" t="s">
        <v>98</v>
      </c>
      <c r="AE93" s="5">
        <v>0</v>
      </c>
      <c r="AF93" s="5"/>
      <c r="AG93" s="5"/>
      <c r="AH93" s="5"/>
      <c r="AI93" s="5">
        <v>14667.034267949997</v>
      </c>
      <c r="AJ93" s="5"/>
      <c r="AK93" s="5"/>
      <c r="AL93" s="5"/>
      <c r="AM93" s="5"/>
      <c r="AN93" s="85"/>
    </row>
    <row r="94" spans="1:40" s="1" customFormat="1" ht="12" customHeight="1" x14ac:dyDescent="0.2">
      <c r="A94" s="75">
        <v>42124</v>
      </c>
      <c r="B94" s="5">
        <v>8002.6095760333255</v>
      </c>
      <c r="C94" s="5">
        <v>-310.37890602980241</v>
      </c>
      <c r="D94" s="5">
        <v>150.37023326999991</v>
      </c>
      <c r="E94" s="5">
        <v>-556.95899999999995</v>
      </c>
      <c r="F94" s="5">
        <v>5249</v>
      </c>
      <c r="G94" s="5">
        <v>-2159.7399999999998</v>
      </c>
      <c r="H94" s="5">
        <v>0</v>
      </c>
      <c r="I94" s="5">
        <v>0</v>
      </c>
      <c r="J94" s="5">
        <v>-20.736000000000001</v>
      </c>
      <c r="K94" s="5">
        <v>10354.165903273522</v>
      </c>
      <c r="L94" s="5">
        <v>-270</v>
      </c>
      <c r="M94" s="5">
        <v>3.4000000000105501E-2</v>
      </c>
      <c r="N94" s="5">
        <v>-1898.557285410001</v>
      </c>
      <c r="O94" s="5">
        <v>-499.46499999999992</v>
      </c>
      <c r="P94" s="5">
        <v>0</v>
      </c>
      <c r="Q94" s="5" t="s">
        <v>98</v>
      </c>
      <c r="R94" s="5">
        <v>0</v>
      </c>
      <c r="S94" s="5"/>
      <c r="T94" s="5"/>
      <c r="U94" s="5"/>
      <c r="V94" s="5">
        <v>-2667.9882854100006</v>
      </c>
      <c r="W94" s="5">
        <v>7686.1776178635209</v>
      </c>
      <c r="X94" s="5">
        <v>7697.3766062019977</v>
      </c>
      <c r="Y94" s="5">
        <v>0</v>
      </c>
      <c r="Z94" s="5">
        <v>0</v>
      </c>
      <c r="AA94" s="5">
        <v>14451.829379539995</v>
      </c>
      <c r="AB94" s="5">
        <v>-898.86500000000001</v>
      </c>
      <c r="AC94" s="5">
        <v>0</v>
      </c>
      <c r="AD94" s="5" t="s">
        <v>98</v>
      </c>
      <c r="AE94" s="5">
        <v>0</v>
      </c>
      <c r="AF94" s="5"/>
      <c r="AG94" s="5"/>
      <c r="AH94" s="5"/>
      <c r="AI94" s="5">
        <v>13552.964379539995</v>
      </c>
      <c r="AJ94" s="5"/>
      <c r="AK94" s="5"/>
      <c r="AL94" s="5"/>
      <c r="AM94" s="5"/>
      <c r="AN94" s="85"/>
    </row>
    <row r="95" spans="1:40" s="1" customFormat="1" ht="12" customHeight="1" x14ac:dyDescent="0.2">
      <c r="A95" s="75">
        <v>42153</v>
      </c>
      <c r="B95" s="5">
        <v>7686.1776178635209</v>
      </c>
      <c r="C95" s="5">
        <v>-3504.1901720799988</v>
      </c>
      <c r="D95" s="5">
        <v>34.247087869999987</v>
      </c>
      <c r="E95" s="5">
        <v>-322.57100000000003</v>
      </c>
      <c r="F95" s="5">
        <v>0</v>
      </c>
      <c r="G95" s="5">
        <v>-884.63599999999997</v>
      </c>
      <c r="H95" s="5">
        <v>1390</v>
      </c>
      <c r="I95" s="5">
        <v>0</v>
      </c>
      <c r="J95" s="5">
        <v>-52.750588999999991</v>
      </c>
      <c r="K95" s="5">
        <v>4346.2769446535212</v>
      </c>
      <c r="L95" s="5">
        <v>49.905399999999986</v>
      </c>
      <c r="M95" s="5">
        <v>-0.13000000000010914</v>
      </c>
      <c r="N95" s="5">
        <v>3787.2502219999988</v>
      </c>
      <c r="O95" s="5">
        <v>-179.66800000000012</v>
      </c>
      <c r="P95" s="5">
        <v>0</v>
      </c>
      <c r="Q95" s="5" t="s">
        <v>98</v>
      </c>
      <c r="R95" s="5">
        <v>0.14999999999999858</v>
      </c>
      <c r="S95" s="5"/>
      <c r="T95" s="5"/>
      <c r="U95" s="5"/>
      <c r="V95" s="5">
        <v>3657.5076219999987</v>
      </c>
      <c r="W95" s="5">
        <v>8003.7845666535195</v>
      </c>
      <c r="X95" s="5">
        <v>8029.7276148459086</v>
      </c>
      <c r="Y95" s="5">
        <v>0</v>
      </c>
      <c r="Z95" s="5">
        <v>0</v>
      </c>
      <c r="AA95" s="5">
        <v>18092.401601539994</v>
      </c>
      <c r="AB95" s="5">
        <v>-1078.5329999999999</v>
      </c>
      <c r="AC95" s="5">
        <v>0</v>
      </c>
      <c r="AD95" s="5" t="s">
        <v>98</v>
      </c>
      <c r="AE95" s="5">
        <v>0</v>
      </c>
      <c r="AF95" s="5"/>
      <c r="AG95" s="5"/>
      <c r="AH95" s="5"/>
      <c r="AI95" s="5">
        <v>17013.868601539994</v>
      </c>
      <c r="AJ95" s="5"/>
      <c r="AK95" s="5"/>
      <c r="AL95" s="5"/>
      <c r="AM95" s="5"/>
      <c r="AN95" s="85"/>
    </row>
    <row r="96" spans="1:40" s="1" customFormat="1" ht="12" customHeight="1" x14ac:dyDescent="0.2">
      <c r="A96" s="75">
        <v>42185</v>
      </c>
      <c r="B96" s="5">
        <v>8003.7845666535195</v>
      </c>
      <c r="C96" s="5">
        <v>1083.7678771999977</v>
      </c>
      <c r="D96" s="5">
        <v>-146.00460485351672</v>
      </c>
      <c r="E96" s="5">
        <v>-419.75099999999998</v>
      </c>
      <c r="F96" s="5">
        <v>0</v>
      </c>
      <c r="G96" s="5">
        <v>-589.25700000000006</v>
      </c>
      <c r="H96" s="5">
        <v>600</v>
      </c>
      <c r="I96" s="5">
        <v>0</v>
      </c>
      <c r="J96" s="5">
        <v>-48.665699999999994</v>
      </c>
      <c r="K96" s="5">
        <v>8483.8741390000014</v>
      </c>
      <c r="L96" s="5">
        <v>-56.267000000000003</v>
      </c>
      <c r="M96" s="5">
        <v>-1084.0210000000006</v>
      </c>
      <c r="N96" s="5">
        <v>218.26186099999904</v>
      </c>
      <c r="O96" s="5">
        <v>770.88200000000006</v>
      </c>
      <c r="P96" s="5">
        <v>0</v>
      </c>
      <c r="Q96" s="5" t="s">
        <v>98</v>
      </c>
      <c r="R96" s="5">
        <v>-11.730000000000018</v>
      </c>
      <c r="S96" s="5"/>
      <c r="T96" s="5"/>
      <c r="U96" s="5"/>
      <c r="V96" s="5">
        <v>-162.87413900000161</v>
      </c>
      <c r="W96" s="5">
        <v>8321</v>
      </c>
      <c r="X96" s="5">
        <v>8050.1729095871387</v>
      </c>
      <c r="Y96" s="5">
        <v>0</v>
      </c>
      <c r="Z96" s="5">
        <v>-1084</v>
      </c>
      <c r="AA96" s="5">
        <v>18055.779462539991</v>
      </c>
      <c r="AB96" s="5">
        <v>-307.65099999999984</v>
      </c>
      <c r="AC96" s="5">
        <v>0</v>
      </c>
      <c r="AD96" s="5" t="s">
        <v>98</v>
      </c>
      <c r="AE96" s="5">
        <v>-12</v>
      </c>
      <c r="AF96" s="5"/>
      <c r="AG96" s="5"/>
      <c r="AH96" s="5"/>
      <c r="AI96" s="5">
        <v>16652.128462539993</v>
      </c>
      <c r="AJ96" s="5"/>
      <c r="AK96" s="5"/>
      <c r="AL96" s="5"/>
      <c r="AM96" s="5"/>
      <c r="AN96" s="85"/>
    </row>
    <row r="97" spans="1:41" s="1" customFormat="1" ht="12" customHeight="1" x14ac:dyDescent="0.2">
      <c r="A97" s="75">
        <v>42216</v>
      </c>
      <c r="B97" s="5">
        <v>8321</v>
      </c>
      <c r="C97" s="5">
        <v>2634.4894347099998</v>
      </c>
      <c r="D97" s="5">
        <v>0.86163928999985728</v>
      </c>
      <c r="E97" s="5">
        <v>-533.10359400000004</v>
      </c>
      <c r="F97" s="5">
        <v>0</v>
      </c>
      <c r="G97" s="5">
        <v>-590.29899999999998</v>
      </c>
      <c r="H97" s="5">
        <v>500</v>
      </c>
      <c r="I97" s="5">
        <v>0</v>
      </c>
      <c r="J97" s="5">
        <v>-177.79599999999999</v>
      </c>
      <c r="K97" s="5">
        <v>10155.152479999999</v>
      </c>
      <c r="L97" s="5">
        <v>0</v>
      </c>
      <c r="M97" s="5">
        <v>867.8739999999998</v>
      </c>
      <c r="N97" s="5">
        <v>-1449.7250000000004</v>
      </c>
      <c r="O97" s="5">
        <v>-1560</v>
      </c>
      <c r="P97" s="5">
        <v>0</v>
      </c>
      <c r="Q97" s="5" t="s">
        <v>98</v>
      </c>
      <c r="R97" s="5">
        <v>11.990000000000009</v>
      </c>
      <c r="S97" s="5"/>
      <c r="T97" s="5"/>
      <c r="U97" s="5"/>
      <c r="V97" s="5">
        <v>-2129.8610000000008</v>
      </c>
      <c r="W97" s="5">
        <v>8025.291479999998</v>
      </c>
      <c r="X97" s="5">
        <v>8107.4133347084708</v>
      </c>
      <c r="Y97" s="5">
        <v>0</v>
      </c>
      <c r="Z97" s="5">
        <v>-216</v>
      </c>
      <c r="AA97" s="5">
        <v>16630</v>
      </c>
      <c r="AB97" s="5">
        <v>-1870</v>
      </c>
      <c r="AC97" s="5">
        <v>0</v>
      </c>
      <c r="AD97" s="5" t="s">
        <v>98</v>
      </c>
      <c r="AE97" s="5">
        <v>0</v>
      </c>
      <c r="AF97" s="5"/>
      <c r="AG97" s="5"/>
      <c r="AH97" s="5"/>
      <c r="AI97" s="5">
        <v>14544</v>
      </c>
      <c r="AJ97" s="5"/>
      <c r="AK97" s="5"/>
      <c r="AL97" s="5"/>
      <c r="AM97" s="5"/>
      <c r="AN97" s="85"/>
    </row>
    <row r="98" spans="1:41" s="1" customFormat="1" ht="12" customHeight="1" x14ac:dyDescent="0.2">
      <c r="A98" s="75">
        <v>42247</v>
      </c>
      <c r="B98" s="5">
        <v>8025.291479999998</v>
      </c>
      <c r="C98" s="5">
        <v>-1211.813779104999</v>
      </c>
      <c r="D98" s="5">
        <v>266.77311608500327</v>
      </c>
      <c r="E98" s="5">
        <v>-332.80200000000002</v>
      </c>
      <c r="F98" s="5">
        <v>0</v>
      </c>
      <c r="G98" s="5">
        <v>-590.68299999999999</v>
      </c>
      <c r="H98" s="5">
        <v>1300</v>
      </c>
      <c r="I98" s="5">
        <v>0</v>
      </c>
      <c r="J98" s="5">
        <v>-128.554</v>
      </c>
      <c r="K98" s="5">
        <v>7328.2118169800024</v>
      </c>
      <c r="L98" s="5">
        <v>300</v>
      </c>
      <c r="M98" s="5">
        <v>216.98999999999978</v>
      </c>
      <c r="N98" s="5">
        <v>1058.0950000000003</v>
      </c>
      <c r="O98" s="5">
        <v>-976</v>
      </c>
      <c r="P98" s="5">
        <v>0</v>
      </c>
      <c r="Q98" s="5" t="s">
        <v>98</v>
      </c>
      <c r="R98" s="5">
        <v>-36.349999999999994</v>
      </c>
      <c r="S98" s="5"/>
      <c r="T98" s="5"/>
      <c r="U98" s="5"/>
      <c r="V98" s="5">
        <v>562.73500000000001</v>
      </c>
      <c r="W98" s="5">
        <v>7890.946816980002</v>
      </c>
      <c r="X98" s="5">
        <v>7893.1994057459933</v>
      </c>
      <c r="Y98" s="5">
        <v>300</v>
      </c>
      <c r="Z98" s="5">
        <v>0</v>
      </c>
      <c r="AA98" s="5">
        <v>17709</v>
      </c>
      <c r="AB98" s="5">
        <v>-3046</v>
      </c>
      <c r="AC98" s="5">
        <v>0</v>
      </c>
      <c r="AD98" s="5" t="s">
        <v>98</v>
      </c>
      <c r="AE98" s="5">
        <v>-6</v>
      </c>
      <c r="AF98" s="5"/>
      <c r="AG98" s="5"/>
      <c r="AH98" s="5"/>
      <c r="AI98" s="5">
        <v>14957</v>
      </c>
      <c r="AJ98" s="5"/>
      <c r="AK98" s="5"/>
      <c r="AL98" s="5"/>
      <c r="AM98" s="5"/>
      <c r="AN98" s="85"/>
    </row>
    <row r="99" spans="1:41" s="1" customFormat="1" ht="12" customHeight="1" x14ac:dyDescent="0.2">
      <c r="A99" s="75">
        <v>42277</v>
      </c>
      <c r="B99" s="5">
        <v>7890.946816980002</v>
      </c>
      <c r="C99" s="5">
        <v>1853.2344878399995</v>
      </c>
      <c r="D99" s="5">
        <v>-126.81818278999748</v>
      </c>
      <c r="E99" s="5">
        <v>-741.21100000000001</v>
      </c>
      <c r="F99" s="5">
        <v>0</v>
      </c>
      <c r="G99" s="5">
        <v>-886.86099999999988</v>
      </c>
      <c r="H99" s="5">
        <v>1800</v>
      </c>
      <c r="I99" s="5">
        <v>0</v>
      </c>
      <c r="J99" s="5">
        <v>-71.527000000000015</v>
      </c>
      <c r="K99" s="5">
        <v>9717.7641220300047</v>
      </c>
      <c r="L99" s="5">
        <v>-1.999999999998181E-2</v>
      </c>
      <c r="M99" s="5">
        <v>0.44000000000050932</v>
      </c>
      <c r="N99" s="5">
        <v>-3410.8126000000007</v>
      </c>
      <c r="O99" s="5">
        <v>987.11499999999978</v>
      </c>
      <c r="P99" s="5">
        <v>0</v>
      </c>
      <c r="Q99" s="5" t="s">
        <v>98</v>
      </c>
      <c r="R99" s="5">
        <v>36.35</v>
      </c>
      <c r="S99" s="5"/>
      <c r="T99" s="5"/>
      <c r="U99" s="5"/>
      <c r="V99" s="5">
        <v>-2386.9276000000004</v>
      </c>
      <c r="W99" s="5">
        <v>7330.8365220300038</v>
      </c>
      <c r="X99" s="5">
        <v>7632.917979040546</v>
      </c>
      <c r="Y99" s="5">
        <v>0</v>
      </c>
      <c r="Z99" s="5">
        <v>0</v>
      </c>
      <c r="AA99" s="5">
        <v>14332</v>
      </c>
      <c r="AB99" s="5">
        <v>-2059</v>
      </c>
      <c r="AC99" s="5">
        <v>0</v>
      </c>
      <c r="AD99" s="5" t="s">
        <v>98</v>
      </c>
      <c r="AE99" s="5">
        <v>0</v>
      </c>
      <c r="AF99" s="5"/>
      <c r="AG99" s="5"/>
      <c r="AH99" s="5"/>
      <c r="AI99" s="5">
        <v>12273</v>
      </c>
      <c r="AJ99" s="5"/>
      <c r="AK99" s="5"/>
      <c r="AL99" s="5"/>
      <c r="AM99" s="5"/>
      <c r="AN99" s="85"/>
    </row>
    <row r="100" spans="1:41" x14ac:dyDescent="0.2">
      <c r="A100" s="75">
        <v>42307</v>
      </c>
      <c r="B100" s="5">
        <v>7330.8365220300038</v>
      </c>
      <c r="C100" s="5">
        <v>-57.187481716667889</v>
      </c>
      <c r="D100" s="5">
        <v>-608.18175261000101</v>
      </c>
      <c r="E100" s="5">
        <v>-2167.9920000000002</v>
      </c>
      <c r="F100" s="5">
        <v>0</v>
      </c>
      <c r="G100" s="5">
        <v>-591.26800000000003</v>
      </c>
      <c r="H100" s="5">
        <v>1100</v>
      </c>
      <c r="I100" s="5">
        <v>0</v>
      </c>
      <c r="J100" s="5">
        <v>-9.1769999999999996</v>
      </c>
      <c r="K100" s="5">
        <v>4997.0302877033346</v>
      </c>
      <c r="L100" s="5">
        <v>1100</v>
      </c>
      <c r="M100" s="5">
        <v>0.38999999999941792</v>
      </c>
      <c r="N100" s="5">
        <v>-17.491000000000213</v>
      </c>
      <c r="O100" s="5">
        <v>700</v>
      </c>
      <c r="P100" s="5">
        <v>0</v>
      </c>
      <c r="Q100" s="5" t="s">
        <v>98</v>
      </c>
      <c r="R100" s="5">
        <v>0</v>
      </c>
      <c r="S100" s="5"/>
      <c r="T100" s="5"/>
      <c r="U100" s="5"/>
      <c r="V100" s="5">
        <v>1782.8989999999992</v>
      </c>
      <c r="W100" s="5">
        <v>6779.929287703334</v>
      </c>
      <c r="X100" s="5">
        <v>7840.600877415407</v>
      </c>
      <c r="Y100" s="5">
        <v>1400</v>
      </c>
      <c r="Z100" s="5">
        <v>0</v>
      </c>
      <c r="AA100" s="5">
        <v>14329</v>
      </c>
      <c r="AB100" s="5">
        <v>-1159</v>
      </c>
      <c r="AC100" s="5">
        <v>0</v>
      </c>
      <c r="AD100" s="5" t="s">
        <v>98</v>
      </c>
      <c r="AE100" s="5">
        <v>0</v>
      </c>
      <c r="AF100" s="5"/>
      <c r="AG100" s="5"/>
      <c r="AH100" s="5"/>
      <c r="AI100" s="5">
        <v>14570</v>
      </c>
    </row>
    <row r="101" spans="1:41" x14ac:dyDescent="0.2">
      <c r="A101" s="75">
        <v>42338</v>
      </c>
      <c r="B101" s="5">
        <v>6779.929287703334</v>
      </c>
      <c r="C101" s="5">
        <v>2619.9295570099998</v>
      </c>
      <c r="D101" s="5">
        <v>-6.6718177600011899</v>
      </c>
      <c r="E101" s="5">
        <v>-317.51499999999999</v>
      </c>
      <c r="F101" s="5">
        <v>0</v>
      </c>
      <c r="G101" s="5">
        <v>-590.85599999999999</v>
      </c>
      <c r="H101" s="5">
        <v>800</v>
      </c>
      <c r="I101" s="5">
        <v>0</v>
      </c>
      <c r="J101" s="5">
        <v>-42.24</v>
      </c>
      <c r="K101" s="5">
        <v>9242.576026953333</v>
      </c>
      <c r="L101" s="5">
        <v>-1400</v>
      </c>
      <c r="M101" s="5">
        <v>-238.73000000000047</v>
      </c>
      <c r="N101" s="5">
        <v>325.72500000000036</v>
      </c>
      <c r="O101" s="5">
        <v>63</v>
      </c>
      <c r="P101" s="5">
        <v>0</v>
      </c>
      <c r="Q101" s="5" t="s">
        <v>98</v>
      </c>
      <c r="R101" s="5">
        <v>0</v>
      </c>
      <c r="S101" s="5"/>
      <c r="T101" s="5"/>
      <c r="U101" s="5"/>
      <c r="V101" s="5">
        <v>-1250.0050000000001</v>
      </c>
      <c r="W101" s="5">
        <v>7992.5710269533329</v>
      </c>
      <c r="X101" s="5">
        <v>7669.5568948320479</v>
      </c>
      <c r="Y101" s="5">
        <v>0</v>
      </c>
      <c r="Z101" s="5">
        <v>-239</v>
      </c>
      <c r="AA101" s="5">
        <v>14672</v>
      </c>
      <c r="AB101" s="5">
        <v>-1296</v>
      </c>
      <c r="AC101" s="5">
        <v>0</v>
      </c>
      <c r="AD101" s="5" t="s">
        <v>98</v>
      </c>
      <c r="AE101" s="5">
        <v>0</v>
      </c>
      <c r="AF101" s="5"/>
      <c r="AG101" s="5"/>
      <c r="AH101" s="5"/>
      <c r="AI101" s="5">
        <v>13137</v>
      </c>
    </row>
    <row r="102" spans="1:41" x14ac:dyDescent="0.2">
      <c r="A102" s="75">
        <v>42369</v>
      </c>
      <c r="B102" s="5">
        <v>7992.5710269533329</v>
      </c>
      <c r="C102" s="5">
        <v>1410.3579757343414</v>
      </c>
      <c r="D102" s="5">
        <v>-587.12975003767156</v>
      </c>
      <c r="E102" s="5">
        <v>-520.19200000000001</v>
      </c>
      <c r="F102" s="5">
        <v>0</v>
      </c>
      <c r="G102" s="5">
        <v>-295.52699999999999</v>
      </c>
      <c r="H102" s="5">
        <v>500</v>
      </c>
      <c r="I102" s="5">
        <v>0</v>
      </c>
      <c r="J102" s="5">
        <v>-36.076999999999998</v>
      </c>
      <c r="K102" s="5">
        <v>8464.0032526500036</v>
      </c>
      <c r="L102" s="5">
        <v>100</v>
      </c>
      <c r="M102" s="5">
        <v>239</v>
      </c>
      <c r="N102" s="5">
        <v>-1058.1753699999999</v>
      </c>
      <c r="O102" s="5">
        <v>83</v>
      </c>
      <c r="P102" s="5">
        <v>0</v>
      </c>
      <c r="Q102" s="5" t="s">
        <v>98</v>
      </c>
      <c r="R102" s="5">
        <v>0</v>
      </c>
      <c r="S102" s="5"/>
      <c r="T102" s="5"/>
      <c r="U102" s="5"/>
      <c r="V102" s="5">
        <v>-636.17536999999993</v>
      </c>
      <c r="W102" s="5">
        <v>7827.8278826500036</v>
      </c>
      <c r="X102" s="5">
        <v>7954.479112433296</v>
      </c>
      <c r="Y102" s="5">
        <v>100</v>
      </c>
      <c r="Z102" s="5">
        <v>0</v>
      </c>
      <c r="AA102" s="5">
        <v>13631</v>
      </c>
      <c r="AB102" s="5">
        <v>-1013</v>
      </c>
      <c r="AC102" s="5">
        <v>0</v>
      </c>
      <c r="AD102" s="5" t="s">
        <v>98</v>
      </c>
      <c r="AE102" s="5">
        <v>0</v>
      </c>
      <c r="AF102" s="5"/>
      <c r="AG102" s="5"/>
      <c r="AH102" s="5"/>
      <c r="AI102" s="5">
        <v>12718</v>
      </c>
    </row>
    <row r="103" spans="1:41" x14ac:dyDescent="0.2">
      <c r="A103" s="75">
        <v>42398</v>
      </c>
      <c r="B103" s="5">
        <v>7827.8278826500036</v>
      </c>
      <c r="C103" s="5">
        <v>-4553.036711130002</v>
      </c>
      <c r="D103" s="5">
        <v>677.38876816999914</v>
      </c>
      <c r="E103" s="5">
        <v>0</v>
      </c>
      <c r="F103" s="5">
        <v>0</v>
      </c>
      <c r="G103" s="5">
        <v>0</v>
      </c>
      <c r="H103" s="5">
        <v>900</v>
      </c>
      <c r="I103" s="5">
        <v>0</v>
      </c>
      <c r="J103" s="5">
        <v>-23.300999999999998</v>
      </c>
      <c r="K103" s="5">
        <v>4828.8789396900002</v>
      </c>
      <c r="L103" s="5">
        <v>-100</v>
      </c>
      <c r="M103" s="5">
        <v>0</v>
      </c>
      <c r="N103" s="5">
        <v>3212.4319999999998</v>
      </c>
      <c r="O103" s="5">
        <v>189.38279999999986</v>
      </c>
      <c r="P103" s="5">
        <v>0</v>
      </c>
      <c r="Q103" s="5" t="s">
        <v>98</v>
      </c>
      <c r="R103" s="5">
        <v>0</v>
      </c>
      <c r="S103" s="5"/>
      <c r="T103" s="5"/>
      <c r="U103" s="5"/>
      <c r="V103" s="5">
        <v>3301.8147999999997</v>
      </c>
      <c r="W103" s="5">
        <v>8130.6937396899993</v>
      </c>
      <c r="X103" s="5">
        <v>7982.573665605717</v>
      </c>
      <c r="Y103" s="5">
        <v>0</v>
      </c>
      <c r="Z103" s="5">
        <v>0</v>
      </c>
      <c r="AA103" s="5">
        <v>16847</v>
      </c>
      <c r="AB103" s="5">
        <v>-824</v>
      </c>
      <c r="AC103" s="5">
        <v>0</v>
      </c>
      <c r="AD103" s="5" t="s">
        <v>98</v>
      </c>
      <c r="AE103" s="5">
        <v>0</v>
      </c>
      <c r="AF103" s="5"/>
      <c r="AG103" s="5"/>
      <c r="AH103" s="5"/>
      <c r="AI103" s="5">
        <v>16023</v>
      </c>
    </row>
    <row r="104" spans="1:41" x14ac:dyDescent="0.2">
      <c r="A104" s="75">
        <v>42429</v>
      </c>
      <c r="B104" s="5">
        <v>8130.6937396899993</v>
      </c>
      <c r="C104" s="5">
        <v>1127.3028216500004</v>
      </c>
      <c r="D104" s="5">
        <v>-315.37430914999976</v>
      </c>
      <c r="E104" s="5">
        <v>-205.648</v>
      </c>
      <c r="F104" s="5">
        <v>1779</v>
      </c>
      <c r="G104" s="5">
        <v>-591.78599999999994</v>
      </c>
      <c r="H104" s="5">
        <v>0</v>
      </c>
      <c r="I104" s="5">
        <v>0</v>
      </c>
      <c r="J104" s="5">
        <v>-22.018999999999995</v>
      </c>
      <c r="K104" s="5">
        <v>9902.1692521900004</v>
      </c>
      <c r="L104" s="5">
        <v>0</v>
      </c>
      <c r="M104" s="5">
        <v>-0.53999999999996362</v>
      </c>
      <c r="N104" s="5">
        <v>-1329.6600000000026</v>
      </c>
      <c r="O104" s="5">
        <v>-871</v>
      </c>
      <c r="P104" s="5">
        <v>0</v>
      </c>
      <c r="Q104" s="5" t="s">
        <v>98</v>
      </c>
      <c r="R104" s="5">
        <v>-5.379999999999999</v>
      </c>
      <c r="S104" s="5"/>
      <c r="T104" s="5"/>
      <c r="U104" s="5"/>
      <c r="V104" s="5">
        <v>-2206.5800000000027</v>
      </c>
      <c r="W104" s="5">
        <v>7695.5892521899978</v>
      </c>
      <c r="X104" s="5">
        <v>8163.17081675391</v>
      </c>
      <c r="Y104" s="5">
        <v>0</v>
      </c>
      <c r="Z104" s="5">
        <v>0</v>
      </c>
      <c r="AA104" s="5">
        <v>15538</v>
      </c>
      <c r="AB104" s="5">
        <v>-1895</v>
      </c>
      <c r="AC104" s="5">
        <v>0</v>
      </c>
      <c r="AD104" s="5" t="s">
        <v>98</v>
      </c>
      <c r="AE104" s="5">
        <v>-5</v>
      </c>
      <c r="AF104" s="5"/>
      <c r="AG104" s="5"/>
      <c r="AH104" s="5"/>
      <c r="AI104" s="5">
        <v>13638</v>
      </c>
      <c r="AO104" s="86"/>
    </row>
    <row r="105" spans="1:41" x14ac:dyDescent="0.2">
      <c r="A105" s="75">
        <v>42460</v>
      </c>
      <c r="B105" s="5">
        <v>7695.5892521899978</v>
      </c>
      <c r="C105" s="5">
        <v>1182.8176339200002</v>
      </c>
      <c r="D105" s="5">
        <v>-175.6654347200041</v>
      </c>
      <c r="E105" s="5">
        <v>-417.08600000000001</v>
      </c>
      <c r="F105" s="5">
        <v>0</v>
      </c>
      <c r="G105" s="5">
        <v>-888.53100000000006</v>
      </c>
      <c r="H105" s="5">
        <v>1300</v>
      </c>
      <c r="I105" s="5">
        <v>0</v>
      </c>
      <c r="J105" s="5">
        <v>-41.152000000000008</v>
      </c>
      <c r="K105" s="5">
        <v>8655.9724513899946</v>
      </c>
      <c r="L105" s="5">
        <v>0</v>
      </c>
      <c r="M105" s="5">
        <v>-10.859999999999673</v>
      </c>
      <c r="N105" s="5">
        <v>-298.91162999999869</v>
      </c>
      <c r="O105" s="5">
        <v>-765</v>
      </c>
      <c r="P105" s="5">
        <v>0</v>
      </c>
      <c r="Q105" s="5" t="s">
        <v>98</v>
      </c>
      <c r="R105" s="5">
        <v>5.3800000000000026</v>
      </c>
      <c r="S105" s="5"/>
      <c r="T105" s="5"/>
      <c r="U105" s="5"/>
      <c r="V105" s="5">
        <v>-1069.3916299999983</v>
      </c>
      <c r="W105" s="5">
        <v>7586.5808213899963</v>
      </c>
      <c r="X105" s="5">
        <v>7874.3370697713963</v>
      </c>
      <c r="Y105" s="5">
        <v>0</v>
      </c>
      <c r="Z105" s="5">
        <v>-11</v>
      </c>
      <c r="AA105" s="5">
        <v>15258</v>
      </c>
      <c r="AB105" s="5">
        <v>-2460</v>
      </c>
      <c r="AC105" s="5">
        <v>0</v>
      </c>
      <c r="AD105" s="5" t="s">
        <v>98</v>
      </c>
      <c r="AE105" s="5">
        <v>0</v>
      </c>
      <c r="AF105" s="5"/>
      <c r="AG105" s="5"/>
      <c r="AH105" s="5"/>
      <c r="AI105" s="5">
        <v>12787</v>
      </c>
    </row>
    <row r="106" spans="1:41" x14ac:dyDescent="0.2">
      <c r="A106" s="75">
        <v>42489</v>
      </c>
      <c r="B106" s="5">
        <v>7586.5808213899963</v>
      </c>
      <c r="C106" s="5">
        <v>1388.5567282399993</v>
      </c>
      <c r="D106" s="5">
        <v>-65.032045919997316</v>
      </c>
      <c r="E106" s="5">
        <v>-1762.201</v>
      </c>
      <c r="F106" s="5">
        <v>0</v>
      </c>
      <c r="G106" s="5">
        <v>-596.428</v>
      </c>
      <c r="H106" s="5">
        <v>500</v>
      </c>
      <c r="I106" s="5">
        <v>0</v>
      </c>
      <c r="J106" s="5">
        <v>-23.966999999999999</v>
      </c>
      <c r="K106" s="5">
        <v>7027.5095037099982</v>
      </c>
      <c r="L106" s="5">
        <v>0</v>
      </c>
      <c r="M106" s="5">
        <v>-206.2800000000002</v>
      </c>
      <c r="N106" s="5">
        <v>-68.195000000000618</v>
      </c>
      <c r="O106" s="5">
        <v>990</v>
      </c>
      <c r="P106" s="5">
        <v>0</v>
      </c>
      <c r="Q106" s="5" t="s">
        <v>98</v>
      </c>
      <c r="R106" s="5">
        <v>0</v>
      </c>
      <c r="S106" s="5"/>
      <c r="T106" s="5"/>
      <c r="U106" s="5"/>
      <c r="V106" s="5">
        <v>715.52499999999918</v>
      </c>
      <c r="W106" s="5">
        <v>7743.0345037099978</v>
      </c>
      <c r="X106" s="5">
        <v>7899.025186196337</v>
      </c>
      <c r="Y106" s="5">
        <v>0</v>
      </c>
      <c r="Z106" s="5">
        <v>-200</v>
      </c>
      <c r="AA106" s="5">
        <v>15202</v>
      </c>
      <c r="AB106" s="5">
        <v>-1470</v>
      </c>
      <c r="AC106" s="5">
        <v>0</v>
      </c>
      <c r="AD106" s="5" t="s">
        <v>98</v>
      </c>
      <c r="AE106" s="5">
        <v>0</v>
      </c>
      <c r="AF106" s="5"/>
      <c r="AG106" s="5"/>
      <c r="AH106" s="5"/>
      <c r="AI106" s="5">
        <v>13532</v>
      </c>
    </row>
    <row r="107" spans="1:41" x14ac:dyDescent="0.2">
      <c r="A107" s="75">
        <v>42521</v>
      </c>
      <c r="B107" s="5">
        <v>7743.0345037099978</v>
      </c>
      <c r="C107" s="5">
        <v>-2562.8852888999986</v>
      </c>
      <c r="D107" s="5">
        <v>316.32049118999987</v>
      </c>
      <c r="E107" s="5">
        <v>-422.46600000000001</v>
      </c>
      <c r="F107" s="5">
        <v>0</v>
      </c>
      <c r="G107" s="5">
        <v>-592.69399999999996</v>
      </c>
      <c r="H107" s="5">
        <v>600</v>
      </c>
      <c r="I107" s="5">
        <v>0</v>
      </c>
      <c r="J107" s="5">
        <v>-23.82</v>
      </c>
      <c r="K107" s="5">
        <v>5057.4897059999985</v>
      </c>
      <c r="L107" s="5">
        <v>0</v>
      </c>
      <c r="M107" s="5">
        <v>217</v>
      </c>
      <c r="N107" s="5">
        <v>2975.4609999999984</v>
      </c>
      <c r="O107" s="5">
        <v>-419.5010000000002</v>
      </c>
      <c r="P107" s="5">
        <v>0</v>
      </c>
      <c r="Q107" s="5" t="s">
        <v>98</v>
      </c>
      <c r="R107" s="5">
        <v>0</v>
      </c>
      <c r="S107" s="5"/>
      <c r="T107" s="5"/>
      <c r="U107" s="5"/>
      <c r="V107" s="5">
        <v>2772.9599999999982</v>
      </c>
      <c r="W107" s="5">
        <v>7830.4497059999967</v>
      </c>
      <c r="X107" s="5">
        <v>7825.6854945670057</v>
      </c>
      <c r="Y107" s="5">
        <v>0</v>
      </c>
      <c r="Z107" s="5">
        <v>0</v>
      </c>
      <c r="AA107" s="5">
        <v>18187</v>
      </c>
      <c r="AB107" s="5">
        <v>-1890</v>
      </c>
      <c r="AC107" s="5">
        <v>0</v>
      </c>
      <c r="AD107" s="5" t="s">
        <v>98</v>
      </c>
      <c r="AE107" s="5">
        <v>0</v>
      </c>
      <c r="AF107" s="5"/>
      <c r="AG107" s="5"/>
      <c r="AH107" s="5"/>
      <c r="AI107" s="5">
        <v>16297</v>
      </c>
    </row>
    <row r="108" spans="1:41" x14ac:dyDescent="0.2">
      <c r="A108" s="75">
        <v>42551</v>
      </c>
      <c r="B108" s="5">
        <v>7830.4497059999967</v>
      </c>
      <c r="C108" s="5">
        <v>1009.2223116814885</v>
      </c>
      <c r="D108" s="5">
        <v>-356.20957630000123</v>
      </c>
      <c r="E108" s="5">
        <v>-592.86</v>
      </c>
      <c r="F108" s="5">
        <v>0</v>
      </c>
      <c r="G108" s="5">
        <v>-434.61</v>
      </c>
      <c r="H108" s="5">
        <v>500</v>
      </c>
      <c r="I108" s="5">
        <v>0</v>
      </c>
      <c r="J108" s="5">
        <v>-30.057000000000002</v>
      </c>
      <c r="K108" s="5">
        <v>7925.9354413814845</v>
      </c>
      <c r="L108" s="5">
        <v>0</v>
      </c>
      <c r="M108" s="5">
        <v>-110.31999999999971</v>
      </c>
      <c r="N108" s="5">
        <v>-1751.1950000000006</v>
      </c>
      <c r="O108" s="5">
        <v>1215</v>
      </c>
      <c r="P108" s="5">
        <v>0</v>
      </c>
      <c r="Q108" s="5" t="s">
        <v>98</v>
      </c>
      <c r="R108" s="5">
        <v>0</v>
      </c>
      <c r="S108" s="5"/>
      <c r="T108" s="5"/>
      <c r="U108" s="5"/>
      <c r="V108" s="5">
        <v>-646.51500000000033</v>
      </c>
      <c r="W108" s="5">
        <v>7279.4204413814841</v>
      </c>
      <c r="X108" s="5">
        <v>7812</v>
      </c>
      <c r="Y108" s="5">
        <v>0</v>
      </c>
      <c r="Z108" s="5">
        <v>-100</v>
      </c>
      <c r="AA108" s="5">
        <v>16455</v>
      </c>
      <c r="AB108" s="5">
        <v>-675</v>
      </c>
      <c r="AC108" s="5">
        <v>0</v>
      </c>
      <c r="AD108" s="5" t="s">
        <v>98</v>
      </c>
      <c r="AE108" s="5">
        <v>0</v>
      </c>
      <c r="AF108" s="5"/>
      <c r="AG108" s="5"/>
      <c r="AH108" s="5"/>
      <c r="AI108" s="5">
        <v>15680</v>
      </c>
    </row>
    <row r="109" spans="1:41" x14ac:dyDescent="0.2">
      <c r="A109" s="75">
        <v>42580</v>
      </c>
      <c r="B109" s="5">
        <v>7279.4204413814841</v>
      </c>
      <c r="C109" s="5">
        <v>2768.8256454699967</v>
      </c>
      <c r="D109" s="5">
        <v>-46.213425411479307</v>
      </c>
      <c r="E109" s="5">
        <v>260.14300000000003</v>
      </c>
      <c r="F109" s="5">
        <v>0</v>
      </c>
      <c r="G109" s="5">
        <v>-592.77200000000005</v>
      </c>
      <c r="H109" s="5">
        <v>400</v>
      </c>
      <c r="I109" s="5">
        <v>0</v>
      </c>
      <c r="J109" s="5">
        <v>-6.298</v>
      </c>
      <c r="K109" s="5">
        <v>10063.10566144</v>
      </c>
      <c r="L109" s="5">
        <v>0</v>
      </c>
      <c r="M109" s="5">
        <v>110.31999999999971</v>
      </c>
      <c r="N109" s="5">
        <v>-2369.6489999999994</v>
      </c>
      <c r="O109" s="5">
        <v>115</v>
      </c>
      <c r="P109" s="5">
        <v>0</v>
      </c>
      <c r="Q109" s="5" t="s">
        <v>98</v>
      </c>
      <c r="R109" s="5">
        <v>0</v>
      </c>
      <c r="S109" s="5"/>
      <c r="T109" s="5"/>
      <c r="U109" s="5"/>
      <c r="V109" s="5">
        <v>-2144.3289999999997</v>
      </c>
      <c r="W109" s="5">
        <v>7918.7766614400007</v>
      </c>
      <c r="X109" s="5">
        <v>7832.0988107303192</v>
      </c>
      <c r="Y109" s="5">
        <v>0</v>
      </c>
      <c r="Z109" s="5">
        <v>0</v>
      </c>
      <c r="AA109" s="5">
        <v>14103</v>
      </c>
      <c r="AB109" s="5">
        <v>-560</v>
      </c>
      <c r="AC109" s="5">
        <v>0</v>
      </c>
      <c r="AD109" s="5" t="s">
        <v>98</v>
      </c>
      <c r="AE109" s="5">
        <v>0</v>
      </c>
      <c r="AF109" s="5"/>
      <c r="AG109" s="5"/>
      <c r="AH109" s="5"/>
      <c r="AI109" s="5">
        <v>13543</v>
      </c>
    </row>
    <row r="110" spans="1:41" x14ac:dyDescent="0.2">
      <c r="A110" s="75">
        <v>42613</v>
      </c>
      <c r="B110" s="5">
        <v>7918.7766614400007</v>
      </c>
      <c r="C110" s="5">
        <v>-2635.2601431299995</v>
      </c>
      <c r="D110" s="5">
        <v>10.194865689999132</v>
      </c>
      <c r="E110" s="5">
        <v>-1618.4209999999998</v>
      </c>
      <c r="F110" s="5">
        <v>0</v>
      </c>
      <c r="G110" s="5">
        <v>-891.01499999999987</v>
      </c>
      <c r="H110" s="5">
        <v>900</v>
      </c>
      <c r="I110" s="5">
        <v>0</v>
      </c>
      <c r="J110" s="5">
        <v>-30.360500000000002</v>
      </c>
      <c r="K110" s="5">
        <v>3653.9148840000016</v>
      </c>
      <c r="L110" s="5">
        <v>1194</v>
      </c>
      <c r="M110" s="5">
        <v>0</v>
      </c>
      <c r="N110" s="5">
        <v>2367.4489999999996</v>
      </c>
      <c r="O110" s="5">
        <v>-300</v>
      </c>
      <c r="P110" s="5">
        <v>0</v>
      </c>
      <c r="Q110" s="5" t="s">
        <v>98</v>
      </c>
      <c r="R110" s="5">
        <v>0</v>
      </c>
      <c r="S110" s="5"/>
      <c r="T110" s="5"/>
      <c r="U110" s="5"/>
      <c r="V110" s="5">
        <v>3261.4489999999996</v>
      </c>
      <c r="W110" s="5">
        <v>6915.3638840000012</v>
      </c>
      <c r="X110" s="5">
        <v>7609.1977321308677</v>
      </c>
      <c r="Y110" s="5">
        <v>1190</v>
      </c>
      <c r="Z110" s="5">
        <v>0</v>
      </c>
      <c r="AA110" s="5">
        <v>16482</v>
      </c>
      <c r="AB110" s="5">
        <v>-860</v>
      </c>
      <c r="AC110" s="5">
        <v>0</v>
      </c>
      <c r="AD110" s="5" t="s">
        <v>98</v>
      </c>
      <c r="AE110" s="5">
        <v>0</v>
      </c>
      <c r="AF110" s="5"/>
      <c r="AG110" s="5"/>
      <c r="AH110" s="5"/>
      <c r="AI110" s="5">
        <v>16812</v>
      </c>
    </row>
    <row r="111" spans="1:41" x14ac:dyDescent="0.2">
      <c r="A111" s="75">
        <v>42643</v>
      </c>
      <c r="B111" s="5">
        <v>6915.3638840000012</v>
      </c>
      <c r="C111" s="5">
        <v>955.34783109000341</v>
      </c>
      <c r="D111" s="5">
        <v>-3.7722710600039875</v>
      </c>
      <c r="E111" s="5">
        <v>95.342000000000013</v>
      </c>
      <c r="F111" s="5">
        <v>0</v>
      </c>
      <c r="G111" s="5">
        <v>-444.13599999999997</v>
      </c>
      <c r="H111" s="5">
        <v>550</v>
      </c>
      <c r="I111" s="5">
        <v>0</v>
      </c>
      <c r="J111" s="5">
        <v>-42.906000000000006</v>
      </c>
      <c r="K111" s="5">
        <v>8025.2394440300004</v>
      </c>
      <c r="L111" s="5">
        <v>-794</v>
      </c>
      <c r="M111" s="5">
        <v>0</v>
      </c>
      <c r="N111" s="5">
        <v>-961.44340000000102</v>
      </c>
      <c r="O111" s="5">
        <v>685</v>
      </c>
      <c r="P111" s="5">
        <v>0</v>
      </c>
      <c r="Q111" s="5" t="s">
        <v>98</v>
      </c>
      <c r="R111" s="5">
        <v>0</v>
      </c>
      <c r="S111" s="5"/>
      <c r="T111" s="5"/>
      <c r="U111" s="5"/>
      <c r="V111" s="5">
        <v>-1070.443400000001</v>
      </c>
      <c r="W111" s="5">
        <v>6954.7960440299994</v>
      </c>
      <c r="X111" s="5">
        <v>7304.0081326545451</v>
      </c>
      <c r="Y111" s="5">
        <v>0</v>
      </c>
      <c r="Z111" s="5">
        <v>0</v>
      </c>
      <c r="AA111" s="5">
        <v>15528</v>
      </c>
      <c r="AB111" s="5">
        <v>-175</v>
      </c>
      <c r="AC111" s="5">
        <v>0</v>
      </c>
      <c r="AD111" s="5" t="s">
        <v>98</v>
      </c>
      <c r="AE111" s="5">
        <v>0</v>
      </c>
      <c r="AF111" s="5"/>
      <c r="AG111" s="5"/>
      <c r="AH111" s="5"/>
      <c r="AI111" s="5">
        <v>15353</v>
      </c>
    </row>
    <row r="112" spans="1:41" x14ac:dyDescent="0.2">
      <c r="A112" s="75">
        <v>42674</v>
      </c>
      <c r="B112" s="5">
        <v>6954.7960440299994</v>
      </c>
      <c r="C112" s="5">
        <v>-14.997640317469461</v>
      </c>
      <c r="D112" s="5">
        <v>34.517614777472019</v>
      </c>
      <c r="E112" s="5">
        <v>537.33399999999995</v>
      </c>
      <c r="F112" s="5">
        <v>0</v>
      </c>
      <c r="G112" s="5">
        <v>-593.21100000000001</v>
      </c>
      <c r="H112" s="5">
        <v>600</v>
      </c>
      <c r="I112" s="5">
        <v>0</v>
      </c>
      <c r="J112" s="5">
        <v>-23.747</v>
      </c>
      <c r="K112" s="5">
        <v>7494.6920184900009</v>
      </c>
      <c r="L112" s="5">
        <v>-400</v>
      </c>
      <c r="M112" s="5">
        <v>0</v>
      </c>
      <c r="N112" s="5">
        <v>242.02500000000009</v>
      </c>
      <c r="O112" s="5">
        <v>105</v>
      </c>
      <c r="P112" s="5">
        <v>0</v>
      </c>
      <c r="Q112" s="5" t="s">
        <v>98</v>
      </c>
      <c r="R112" s="5">
        <v>9.9999999999909051E-3</v>
      </c>
      <c r="S112" s="5"/>
      <c r="T112" s="5"/>
      <c r="U112" s="5"/>
      <c r="V112" s="5">
        <v>-52.964999999999918</v>
      </c>
      <c r="W112" s="5">
        <v>7441.7270184900008</v>
      </c>
      <c r="X112" s="5">
        <v>7310.5985072697695</v>
      </c>
      <c r="Y112" s="5">
        <v>0</v>
      </c>
      <c r="Z112" s="5">
        <v>0</v>
      </c>
      <c r="AA112" s="5">
        <v>15780</v>
      </c>
      <c r="AB112" s="5">
        <v>-170</v>
      </c>
      <c r="AC112" s="5">
        <v>0</v>
      </c>
      <c r="AD112" s="5" t="s">
        <v>98</v>
      </c>
      <c r="AE112" s="5">
        <v>0</v>
      </c>
      <c r="AF112" s="5"/>
      <c r="AG112" s="5"/>
      <c r="AH112" s="5"/>
      <c r="AI112" s="5">
        <v>15610</v>
      </c>
    </row>
    <row r="113" spans="1:35" x14ac:dyDescent="0.2">
      <c r="A113" s="75">
        <v>42704</v>
      </c>
      <c r="B113" s="5">
        <v>7441.7270184900008</v>
      </c>
      <c r="C113" s="5">
        <v>-791.05792145999931</v>
      </c>
      <c r="D113" s="5">
        <v>1651.2907746699996</v>
      </c>
      <c r="E113" s="5">
        <v>-296.82100000000003</v>
      </c>
      <c r="F113" s="5">
        <v>0</v>
      </c>
      <c r="G113" s="5">
        <v>-596.60599999999999</v>
      </c>
      <c r="H113" s="5">
        <v>596.69600000000003</v>
      </c>
      <c r="I113" s="5">
        <v>0</v>
      </c>
      <c r="J113" s="5">
        <v>-25.905390999999998</v>
      </c>
      <c r="K113" s="5">
        <v>7979.3234807000008</v>
      </c>
      <c r="L113" s="5">
        <v>50</v>
      </c>
      <c r="M113" s="5">
        <v>0</v>
      </c>
      <c r="N113" s="5">
        <v>-697.8179999999993</v>
      </c>
      <c r="O113" s="5">
        <v>-310</v>
      </c>
      <c r="P113" s="5">
        <v>0</v>
      </c>
      <c r="Q113" s="5" t="s">
        <v>98</v>
      </c>
      <c r="R113" s="5">
        <v>0</v>
      </c>
      <c r="S113" s="5"/>
      <c r="T113" s="5"/>
      <c r="U113" s="5"/>
      <c r="V113" s="5">
        <v>-957.8179999999993</v>
      </c>
      <c r="W113" s="5">
        <v>7021.5054807000015</v>
      </c>
      <c r="X113" s="5">
        <v>7526.6364825859082</v>
      </c>
      <c r="Y113" s="5">
        <v>0</v>
      </c>
      <c r="Z113" s="5">
        <v>0</v>
      </c>
      <c r="AA113" s="5">
        <v>15096</v>
      </c>
      <c r="AB113" s="5">
        <v>-480</v>
      </c>
      <c r="AC113" s="5">
        <v>0</v>
      </c>
      <c r="AD113" s="5" t="s">
        <v>98</v>
      </c>
      <c r="AE113" s="5">
        <v>0</v>
      </c>
      <c r="AF113" s="5"/>
      <c r="AG113" s="5"/>
      <c r="AH113" s="5"/>
      <c r="AI113" s="5">
        <v>14616</v>
      </c>
    </row>
    <row r="114" spans="1:35" x14ac:dyDescent="0.2">
      <c r="A114" s="75">
        <v>42734</v>
      </c>
      <c r="B114" s="5">
        <v>7021.5054807000015</v>
      </c>
      <c r="C114" s="5">
        <v>1868.9613041724997</v>
      </c>
      <c r="D114" s="5">
        <v>-364.69909943249718</v>
      </c>
      <c r="E114" s="5">
        <v>34.121000000000024</v>
      </c>
      <c r="F114" s="5">
        <v>0</v>
      </c>
      <c r="G114" s="5">
        <v>-296.73</v>
      </c>
      <c r="H114" s="5">
        <v>340</v>
      </c>
      <c r="I114" s="5">
        <v>0</v>
      </c>
      <c r="J114" s="5">
        <v>-32.243000000000002</v>
      </c>
      <c r="K114" s="5">
        <v>8570.9156854400026</v>
      </c>
      <c r="L114" s="5">
        <v>0</v>
      </c>
      <c r="M114" s="5">
        <v>0</v>
      </c>
      <c r="N114" s="5">
        <v>1998.3084266999977</v>
      </c>
      <c r="O114" s="5">
        <v>-2835</v>
      </c>
      <c r="P114" s="5">
        <v>0</v>
      </c>
      <c r="Q114" s="5" t="s">
        <v>98</v>
      </c>
      <c r="R114" s="5">
        <v>0</v>
      </c>
      <c r="S114" s="5"/>
      <c r="T114" s="5"/>
      <c r="U114" s="5"/>
      <c r="V114" s="5">
        <v>-836.69157330000235</v>
      </c>
      <c r="W114" s="5">
        <v>7734.2241121400002</v>
      </c>
      <c r="X114" s="5">
        <v>7505.2757984334085</v>
      </c>
      <c r="Y114" s="5">
        <v>50</v>
      </c>
      <c r="Z114" s="5">
        <v>0</v>
      </c>
      <c r="AA114" s="5">
        <v>17108</v>
      </c>
      <c r="AB114" s="5">
        <v>-3315</v>
      </c>
      <c r="AC114" s="5">
        <v>0</v>
      </c>
      <c r="AD114" s="5" t="s">
        <v>98</v>
      </c>
      <c r="AE114" s="5">
        <v>0</v>
      </c>
      <c r="AF114" s="5"/>
      <c r="AG114" s="5"/>
      <c r="AH114" s="5"/>
      <c r="AI114" s="5">
        <v>13843</v>
      </c>
    </row>
    <row r="115" spans="1:35" x14ac:dyDescent="0.2">
      <c r="A115" s="75">
        <v>42766</v>
      </c>
      <c r="B115" s="5">
        <v>7734.2241121400002</v>
      </c>
      <c r="C115" s="5">
        <v>-3474.3722337449549</v>
      </c>
      <c r="D115" s="5">
        <v>31.527045724954064</v>
      </c>
      <c r="E115" s="5">
        <v>200.041</v>
      </c>
      <c r="F115" s="5">
        <v>0</v>
      </c>
      <c r="G115" s="5">
        <v>0</v>
      </c>
      <c r="H115" s="5">
        <v>400</v>
      </c>
      <c r="I115" s="5">
        <v>0</v>
      </c>
      <c r="J115" s="5">
        <v>-20.63655069</v>
      </c>
      <c r="K115" s="5">
        <v>4870.7833734300002</v>
      </c>
      <c r="L115" s="5">
        <v>-50</v>
      </c>
      <c r="M115" s="5">
        <v>0</v>
      </c>
      <c r="N115" s="5">
        <v>193.00406706999911</v>
      </c>
      <c r="O115" s="5">
        <v>2515</v>
      </c>
      <c r="P115" s="5">
        <v>0</v>
      </c>
      <c r="Q115" s="5" t="s">
        <v>98</v>
      </c>
      <c r="R115" s="5">
        <v>0</v>
      </c>
      <c r="S115" s="5"/>
      <c r="T115" s="5"/>
      <c r="U115" s="5"/>
      <c r="V115" s="5">
        <v>2658.0040670699991</v>
      </c>
      <c r="W115" s="5">
        <v>7528.7874404999993</v>
      </c>
      <c r="X115" s="5">
        <v>7725.5453866477301</v>
      </c>
      <c r="Y115" s="5">
        <v>0</v>
      </c>
      <c r="Z115" s="5">
        <v>0</v>
      </c>
      <c r="AA115" s="5">
        <v>17306</v>
      </c>
      <c r="AB115" s="5">
        <v>-800</v>
      </c>
      <c r="AC115" s="5">
        <v>0</v>
      </c>
      <c r="AD115" s="5" t="s">
        <v>98</v>
      </c>
      <c r="AE115" s="5">
        <v>0</v>
      </c>
      <c r="AF115" s="5"/>
      <c r="AG115" s="5"/>
      <c r="AH115" s="5"/>
      <c r="AI115" s="5">
        <v>16506</v>
      </c>
    </row>
    <row r="116" spans="1:35" x14ac:dyDescent="0.2">
      <c r="A116" s="75">
        <v>42794</v>
      </c>
      <c r="B116" s="5">
        <v>7528.7874404999993</v>
      </c>
      <c r="C116" s="5">
        <v>-82.332434349997129</v>
      </c>
      <c r="D116" s="5">
        <v>178.97992264000132</v>
      </c>
      <c r="E116" s="5">
        <v>97.058000000000035</v>
      </c>
      <c r="F116" s="5">
        <v>0</v>
      </c>
      <c r="G116" s="5">
        <v>-593.38499999999999</v>
      </c>
      <c r="H116" s="5">
        <v>600</v>
      </c>
      <c r="I116" s="5">
        <v>0</v>
      </c>
      <c r="J116" s="5">
        <v>-18.85447602</v>
      </c>
      <c r="K116" s="5">
        <v>7710.2534527700027</v>
      </c>
      <c r="L116" s="5">
        <v>0</v>
      </c>
      <c r="M116" s="5">
        <v>-331.80000000000018</v>
      </c>
      <c r="N116" s="5">
        <v>-708.26848127000267</v>
      </c>
      <c r="O116" s="5">
        <v>543</v>
      </c>
      <c r="P116" s="5">
        <v>0</v>
      </c>
      <c r="Q116" s="5" t="s">
        <v>98</v>
      </c>
      <c r="R116" s="5">
        <v>0</v>
      </c>
      <c r="S116" s="5"/>
      <c r="T116" s="5"/>
      <c r="U116" s="5"/>
      <c r="V116" s="5">
        <v>-497.06848127000285</v>
      </c>
      <c r="W116" s="5">
        <v>7213.1849714999998</v>
      </c>
      <c r="X116" s="5">
        <v>7420.6953611570034</v>
      </c>
      <c r="Y116" s="5">
        <v>0</v>
      </c>
      <c r="Z116" s="5">
        <v>-300</v>
      </c>
      <c r="AA116" s="5">
        <v>16608</v>
      </c>
      <c r="AB116" s="5">
        <v>-257</v>
      </c>
      <c r="AC116" s="5">
        <v>0</v>
      </c>
      <c r="AD116" s="5" t="s">
        <v>98</v>
      </c>
      <c r="AE116" s="5">
        <v>0</v>
      </c>
      <c r="AF116" s="5"/>
      <c r="AG116" s="5"/>
      <c r="AH116" s="5"/>
      <c r="AI116" s="5">
        <v>16051</v>
      </c>
    </row>
    <row r="117" spans="1:35" x14ac:dyDescent="0.2">
      <c r="A117" s="75">
        <v>42825</v>
      </c>
      <c r="B117" s="5">
        <v>7213.1849714999998</v>
      </c>
      <c r="C117" s="5">
        <v>886.36798730000066</v>
      </c>
      <c r="D117" s="5">
        <v>163.54948813159743</v>
      </c>
      <c r="E117" s="5">
        <v>-1266.8160000000003</v>
      </c>
      <c r="F117" s="5">
        <v>0</v>
      </c>
      <c r="G117" s="5">
        <v>-890.16800000000001</v>
      </c>
      <c r="H117" s="5">
        <v>750</v>
      </c>
      <c r="I117" s="5">
        <v>0</v>
      </c>
      <c r="J117" s="5">
        <v>-32.664366850000008</v>
      </c>
      <c r="K117" s="5">
        <v>6823.4540800815976</v>
      </c>
      <c r="L117" s="5">
        <v>0</v>
      </c>
      <c r="M117" s="5">
        <v>331.79999999999973</v>
      </c>
      <c r="N117" s="5">
        <v>290.25583538840328</v>
      </c>
      <c r="O117" s="5">
        <v>-113</v>
      </c>
      <c r="P117" s="5">
        <v>0</v>
      </c>
      <c r="Q117" s="5" t="s">
        <v>98</v>
      </c>
      <c r="R117" s="5">
        <v>0</v>
      </c>
      <c r="S117" s="5"/>
      <c r="T117" s="5"/>
      <c r="U117" s="5"/>
      <c r="V117" s="5">
        <v>509.05583538840301</v>
      </c>
      <c r="W117" s="5">
        <v>7332.5099154700001</v>
      </c>
      <c r="X117" s="5">
        <v>7808.5198079273905</v>
      </c>
      <c r="Y117" s="5">
        <v>0</v>
      </c>
      <c r="Z117" s="5">
        <v>0</v>
      </c>
      <c r="AA117" s="5">
        <v>16918</v>
      </c>
      <c r="AB117" s="5">
        <v>-370</v>
      </c>
      <c r="AC117" s="5">
        <v>0</v>
      </c>
      <c r="AD117" s="5" t="s">
        <v>98</v>
      </c>
      <c r="AE117" s="5">
        <v>0</v>
      </c>
      <c r="AF117" s="5"/>
      <c r="AG117" s="5"/>
      <c r="AH117" s="5"/>
      <c r="AI117" s="5">
        <v>16548</v>
      </c>
    </row>
    <row r="118" spans="1:35" x14ac:dyDescent="0.2">
      <c r="A118" s="75">
        <v>42853</v>
      </c>
      <c r="B118" s="5">
        <v>7332.5099154700001</v>
      </c>
      <c r="C118" s="5">
        <v>1844.1943836747382</v>
      </c>
      <c r="D118" s="5">
        <v>109.39079761526204</v>
      </c>
      <c r="E118" s="5">
        <v>106.45500000000001</v>
      </c>
      <c r="F118" s="5">
        <v>0</v>
      </c>
      <c r="G118" s="5">
        <v>-593.36599999999999</v>
      </c>
      <c r="H118" s="5">
        <v>400</v>
      </c>
      <c r="I118" s="5">
        <v>0</v>
      </c>
      <c r="J118" s="5">
        <v>-13.02174656</v>
      </c>
      <c r="K118" s="5">
        <v>9186.1623502000002</v>
      </c>
      <c r="L118" s="5">
        <v>0</v>
      </c>
      <c r="M118" s="5">
        <v>0</v>
      </c>
      <c r="N118" s="5">
        <v>-1636.0682383999997</v>
      </c>
      <c r="O118" s="5">
        <v>-550</v>
      </c>
      <c r="P118" s="5">
        <v>0</v>
      </c>
      <c r="Q118" s="5" t="s">
        <v>98</v>
      </c>
      <c r="R118" s="5">
        <v>-9.14</v>
      </c>
      <c r="S118" s="5"/>
      <c r="T118" s="5"/>
      <c r="U118" s="5"/>
      <c r="V118" s="5">
        <v>-2195.2082383999996</v>
      </c>
      <c r="W118" s="5">
        <v>6990.9541118000006</v>
      </c>
      <c r="X118" s="5">
        <v>7903.4544418624591</v>
      </c>
      <c r="Y118" s="5">
        <v>0</v>
      </c>
      <c r="Z118" s="5">
        <v>0</v>
      </c>
      <c r="AA118" s="5">
        <v>15293</v>
      </c>
      <c r="AB118" s="5">
        <v>-920</v>
      </c>
      <c r="AC118" s="5">
        <v>0</v>
      </c>
      <c r="AD118" s="5" t="s">
        <v>98</v>
      </c>
      <c r="AE118" s="5">
        <v>-9</v>
      </c>
      <c r="AF118" s="5"/>
      <c r="AG118" s="5"/>
      <c r="AH118" s="5"/>
      <c r="AI118" s="5">
        <v>14364</v>
      </c>
    </row>
    <row r="119" spans="1:35" x14ac:dyDescent="0.2">
      <c r="A119" s="75">
        <v>42886</v>
      </c>
      <c r="B119" s="5">
        <v>6990.9541118000006</v>
      </c>
      <c r="C119" s="5">
        <v>-3009.8586678500005</v>
      </c>
      <c r="D119" s="5">
        <v>-2.4732545999994784</v>
      </c>
      <c r="E119" s="5">
        <v>-4.9028501999999605</v>
      </c>
      <c r="F119" s="5">
        <v>0</v>
      </c>
      <c r="G119" s="5">
        <v>-593.26699999999994</v>
      </c>
      <c r="H119" s="5">
        <v>600</v>
      </c>
      <c r="I119" s="5">
        <v>0</v>
      </c>
      <c r="J119" s="5">
        <v>-29.250598439999997</v>
      </c>
      <c r="K119" s="5">
        <v>3951.2017407100006</v>
      </c>
      <c r="L119" s="5">
        <v>900</v>
      </c>
      <c r="M119" s="5">
        <v>0</v>
      </c>
      <c r="N119" s="5">
        <v>1088.6253247599998</v>
      </c>
      <c r="O119" s="5">
        <v>580</v>
      </c>
      <c r="P119" s="5">
        <v>0</v>
      </c>
      <c r="Q119" s="5" t="s">
        <v>98</v>
      </c>
      <c r="R119" s="5">
        <v>9.14</v>
      </c>
      <c r="S119" s="5"/>
      <c r="T119" s="5"/>
      <c r="U119" s="5"/>
      <c r="V119" s="5">
        <v>2577.7653247599997</v>
      </c>
      <c r="W119" s="5">
        <v>6528.9670654700003</v>
      </c>
      <c r="X119" s="5">
        <v>7191.049437911739</v>
      </c>
      <c r="Y119" s="5">
        <v>300</v>
      </c>
      <c r="Z119" s="5">
        <v>0</v>
      </c>
      <c r="AA119" s="5">
        <v>16395</v>
      </c>
      <c r="AB119" s="5">
        <v>-360</v>
      </c>
      <c r="AC119" s="5">
        <v>0</v>
      </c>
      <c r="AD119" s="5" t="s">
        <v>98</v>
      </c>
      <c r="AE119" s="5">
        <v>0</v>
      </c>
      <c r="AF119" s="5"/>
      <c r="AG119" s="5"/>
      <c r="AH119" s="5"/>
      <c r="AI119" s="5">
        <v>16335</v>
      </c>
    </row>
    <row r="120" spans="1:35" x14ac:dyDescent="0.2">
      <c r="A120" s="75">
        <v>42916</v>
      </c>
      <c r="B120" s="5">
        <v>6528.9670654700003</v>
      </c>
      <c r="C120" s="5">
        <v>149.44572699167236</v>
      </c>
      <c r="D120" s="5">
        <v>30.597316258329784</v>
      </c>
      <c r="E120" s="5">
        <v>108.72999999999999</v>
      </c>
      <c r="F120" s="5">
        <v>0</v>
      </c>
      <c r="G120" s="5">
        <v>-593.52499999999998</v>
      </c>
      <c r="H120" s="5">
        <v>450</v>
      </c>
      <c r="I120" s="5">
        <v>0</v>
      </c>
      <c r="J120" s="5">
        <v>-22.680047810000001</v>
      </c>
      <c r="K120" s="5">
        <v>6651.5350609100014</v>
      </c>
      <c r="L120" s="5">
        <v>-700</v>
      </c>
      <c r="M120" s="5">
        <v>-21.599999999999909</v>
      </c>
      <c r="N120" s="5">
        <v>875.02399999999943</v>
      </c>
      <c r="O120" s="5">
        <v>81</v>
      </c>
      <c r="P120" s="5">
        <v>0</v>
      </c>
      <c r="Q120" s="5" t="s">
        <v>98</v>
      </c>
      <c r="R120" s="5">
        <v>0</v>
      </c>
      <c r="S120" s="5"/>
      <c r="T120" s="5"/>
      <c r="U120" s="5"/>
      <c r="V120" s="5">
        <v>234.42399999999952</v>
      </c>
      <c r="W120" s="5">
        <v>6885.9590609100014</v>
      </c>
      <c r="X120" s="5">
        <v>6895.1722830230547</v>
      </c>
      <c r="Y120" s="5">
        <v>200</v>
      </c>
      <c r="Z120" s="5">
        <v>-22</v>
      </c>
      <c r="AA120" s="5">
        <v>17284</v>
      </c>
      <c r="AB120" s="5">
        <v>-259</v>
      </c>
      <c r="AC120" s="5">
        <v>0</v>
      </c>
      <c r="AD120" s="5" t="s">
        <v>98</v>
      </c>
      <c r="AE120" s="5">
        <v>0</v>
      </c>
      <c r="AF120" s="5"/>
      <c r="AG120" s="5"/>
      <c r="AH120" s="5"/>
      <c r="AI120" s="5">
        <v>17203</v>
      </c>
    </row>
    <row r="121" spans="1:35" x14ac:dyDescent="0.2">
      <c r="A121" s="75">
        <v>42947</v>
      </c>
      <c r="B121" s="5">
        <v>6885.9590609100014</v>
      </c>
      <c r="C121" s="5">
        <v>3492.9874832399996</v>
      </c>
      <c r="D121" s="5">
        <v>1073.5942898699973</v>
      </c>
      <c r="E121" s="5">
        <v>-304.81799999999998</v>
      </c>
      <c r="F121" s="5">
        <v>0</v>
      </c>
      <c r="G121" s="5">
        <v>-316.67700000000002</v>
      </c>
      <c r="H121" s="5">
        <v>400</v>
      </c>
      <c r="I121" s="5">
        <v>0</v>
      </c>
      <c r="J121" s="5">
        <v>-20.253263080000004</v>
      </c>
      <c r="K121" s="5">
        <v>11210.792570940001</v>
      </c>
      <c r="L121" s="5">
        <v>0</v>
      </c>
      <c r="M121" s="5">
        <v>-185.11999999999898</v>
      </c>
      <c r="N121" s="5">
        <v>-2849.4454564000016</v>
      </c>
      <c r="O121" s="5">
        <v>-338</v>
      </c>
      <c r="P121" s="5">
        <v>0</v>
      </c>
      <c r="Q121" s="5" t="s">
        <v>98</v>
      </c>
      <c r="R121" s="5">
        <v>0</v>
      </c>
      <c r="S121" s="5"/>
      <c r="T121" s="5"/>
      <c r="U121" s="5"/>
      <c r="V121" s="5">
        <v>-3372.5654564000006</v>
      </c>
      <c r="W121" s="5">
        <v>7838.22711454</v>
      </c>
      <c r="X121" s="5">
        <v>7222.7230848827276</v>
      </c>
      <c r="Y121" s="5">
        <v>200</v>
      </c>
      <c r="Z121" s="5">
        <v>-206.69</v>
      </c>
      <c r="AA121" s="5">
        <v>14445</v>
      </c>
      <c r="AB121" s="5">
        <v>-607</v>
      </c>
      <c r="AC121" s="5">
        <v>0</v>
      </c>
      <c r="AD121" s="5" t="s">
        <v>98</v>
      </c>
      <c r="AE121" s="5">
        <v>0</v>
      </c>
      <c r="AF121" s="5"/>
      <c r="AG121" s="5"/>
      <c r="AH121" s="5"/>
      <c r="AI121" s="5">
        <v>13831.31</v>
      </c>
    </row>
    <row r="122" spans="1:35" x14ac:dyDescent="0.2">
      <c r="A122" s="75">
        <v>42978</v>
      </c>
      <c r="B122" s="5">
        <v>7838.22711454</v>
      </c>
      <c r="C122" s="5">
        <v>-3077.9598271300029</v>
      </c>
      <c r="D122" s="5">
        <v>301.23279641999937</v>
      </c>
      <c r="E122" s="5">
        <v>-617.75399999999991</v>
      </c>
      <c r="F122" s="5">
        <v>0</v>
      </c>
      <c r="G122" s="5">
        <v>-890.47199999999998</v>
      </c>
      <c r="H122" s="5">
        <v>900</v>
      </c>
      <c r="I122" s="5">
        <v>0</v>
      </c>
      <c r="J122" s="5">
        <v>-19.12654307</v>
      </c>
      <c r="K122" s="5">
        <v>4434.1475407599974</v>
      </c>
      <c r="L122" s="5">
        <v>500</v>
      </c>
      <c r="M122" s="5">
        <v>206.93599999999969</v>
      </c>
      <c r="N122" s="5">
        <v>2103.4916044400034</v>
      </c>
      <c r="O122" s="5">
        <v>257.20100000000002</v>
      </c>
      <c r="P122" s="5">
        <v>0</v>
      </c>
      <c r="Q122" s="5" t="s">
        <v>98</v>
      </c>
      <c r="R122" s="5">
        <v>0</v>
      </c>
      <c r="S122" s="5"/>
      <c r="T122" s="5"/>
      <c r="U122" s="5"/>
      <c r="V122" s="5">
        <v>3067.6286044400031</v>
      </c>
      <c r="W122" s="5">
        <v>7501.7761452000004</v>
      </c>
      <c r="X122" s="5">
        <v>7571.7684299665207</v>
      </c>
      <c r="Y122" s="5">
        <v>700</v>
      </c>
      <c r="Z122" s="5">
        <v>0</v>
      </c>
      <c r="AA122" s="5">
        <v>16560</v>
      </c>
      <c r="AB122" s="5">
        <v>-340</v>
      </c>
      <c r="AC122" s="5">
        <v>0</v>
      </c>
      <c r="AD122" s="5" t="s">
        <v>98</v>
      </c>
      <c r="AE122" s="5">
        <v>0</v>
      </c>
      <c r="AF122" s="5"/>
      <c r="AG122" s="5"/>
      <c r="AH122" s="5"/>
      <c r="AI122" s="5">
        <v>16920</v>
      </c>
    </row>
    <row r="123" spans="1:35" x14ac:dyDescent="0.2">
      <c r="A123" s="75">
        <v>43007</v>
      </c>
      <c r="B123" s="5">
        <v>7501.7761452000004</v>
      </c>
      <c r="C123" s="5">
        <v>1614.1021781699992</v>
      </c>
      <c r="D123" s="5">
        <v>-46.441409719999513</v>
      </c>
      <c r="E123" s="5">
        <v>-304.37700000000001</v>
      </c>
      <c r="F123" s="5">
        <v>0</v>
      </c>
      <c r="G123" s="5">
        <v>-593.56899999999996</v>
      </c>
      <c r="H123" s="5">
        <v>600</v>
      </c>
      <c r="I123" s="5">
        <v>0</v>
      </c>
      <c r="J123" s="5">
        <v>-35.377675369999992</v>
      </c>
      <c r="K123" s="5">
        <v>8736.1132382800006</v>
      </c>
      <c r="L123" s="5">
        <v>-700</v>
      </c>
      <c r="M123" s="5">
        <v>-25.909999999999854</v>
      </c>
      <c r="N123" s="5">
        <v>95.812799999999697</v>
      </c>
      <c r="O123" s="5">
        <v>-183</v>
      </c>
      <c r="P123" s="5">
        <v>0</v>
      </c>
      <c r="Q123" s="5" t="s">
        <v>98</v>
      </c>
      <c r="R123" s="5">
        <v>-12.129999999999995</v>
      </c>
      <c r="S123" s="5"/>
      <c r="T123" s="5"/>
      <c r="U123" s="5"/>
      <c r="V123" s="5">
        <v>-825.22720000000015</v>
      </c>
      <c r="W123" s="5">
        <v>7910.8860382800003</v>
      </c>
      <c r="X123" s="5">
        <v>7532.426855108637</v>
      </c>
      <c r="Y123" s="5">
        <v>0</v>
      </c>
      <c r="Z123" s="5">
        <v>-26</v>
      </c>
      <c r="AA123" s="5">
        <v>16667</v>
      </c>
      <c r="AB123" s="5">
        <v>-523</v>
      </c>
      <c r="AC123" s="5">
        <v>0</v>
      </c>
      <c r="AD123" s="5" t="s">
        <v>98</v>
      </c>
      <c r="AE123" s="5">
        <v>-12</v>
      </c>
      <c r="AF123" s="5"/>
      <c r="AG123" s="5"/>
      <c r="AH123" s="5"/>
      <c r="AI123" s="5">
        <v>16106</v>
      </c>
    </row>
    <row r="124" spans="1:35" x14ac:dyDescent="0.2">
      <c r="A124" s="75">
        <v>43039</v>
      </c>
      <c r="B124" s="5">
        <v>7910.8860382800003</v>
      </c>
      <c r="C124" s="5">
        <v>-373.99867015104473</v>
      </c>
      <c r="D124" s="5">
        <v>257.20237909105106</v>
      </c>
      <c r="E124" s="5">
        <v>-508.92899999999997</v>
      </c>
      <c r="F124" s="5">
        <v>0</v>
      </c>
      <c r="G124" s="5">
        <v>-596.78899999999999</v>
      </c>
      <c r="H124" s="5">
        <v>520</v>
      </c>
      <c r="I124" s="5">
        <v>0</v>
      </c>
      <c r="J124" s="5">
        <v>-22.125299660000003</v>
      </c>
      <c r="K124" s="5">
        <v>7186.2464475600063</v>
      </c>
      <c r="L124" s="5">
        <v>0</v>
      </c>
      <c r="M124" s="5">
        <v>-375.8700000000008</v>
      </c>
      <c r="N124" s="5">
        <v>3064.7872693999961</v>
      </c>
      <c r="O124" s="5">
        <v>-1020</v>
      </c>
      <c r="P124" s="5">
        <v>0</v>
      </c>
      <c r="Q124" s="5" t="s">
        <v>98</v>
      </c>
      <c r="R124" s="5">
        <v>-102.50999999999999</v>
      </c>
      <c r="S124" s="5"/>
      <c r="T124" s="5"/>
      <c r="U124" s="5"/>
      <c r="V124" s="5">
        <v>1566.4072693999954</v>
      </c>
      <c r="W124" s="5">
        <v>8752.6537169600015</v>
      </c>
      <c r="X124" s="5">
        <v>8421.7015327481349</v>
      </c>
      <c r="Y124" s="5">
        <v>0</v>
      </c>
      <c r="Z124" s="5">
        <v>-402</v>
      </c>
      <c r="AA124" s="5">
        <v>19745</v>
      </c>
      <c r="AB124" s="5">
        <v>-1543</v>
      </c>
      <c r="AC124" s="5">
        <v>0</v>
      </c>
      <c r="AD124" s="5" t="s">
        <v>98</v>
      </c>
      <c r="AE124" s="5">
        <v>-90</v>
      </c>
      <c r="AF124" s="5"/>
      <c r="AG124" s="5"/>
      <c r="AH124" s="5"/>
      <c r="AI124" s="5">
        <v>17710</v>
      </c>
    </row>
    <row r="125" spans="1:35" x14ac:dyDescent="0.2">
      <c r="A125" s="75">
        <v>43069</v>
      </c>
      <c r="B125" s="5">
        <v>8752.6537169600015</v>
      </c>
      <c r="C125" s="5">
        <v>695.79471725999838</v>
      </c>
      <c r="D125" s="5">
        <v>-182.05538803000283</v>
      </c>
      <c r="E125" s="5">
        <v>-467.39600000000007</v>
      </c>
      <c r="F125" s="5">
        <v>0</v>
      </c>
      <c r="G125" s="5">
        <v>-593.70699999999999</v>
      </c>
      <c r="H125" s="5">
        <v>900</v>
      </c>
      <c r="I125" s="5">
        <v>0</v>
      </c>
      <c r="J125" s="5">
        <v>-14.832046190000002</v>
      </c>
      <c r="K125" s="5">
        <v>9090.4579999999951</v>
      </c>
      <c r="L125" s="5">
        <v>0</v>
      </c>
      <c r="M125" s="5">
        <v>401.77999999999884</v>
      </c>
      <c r="N125" s="5">
        <v>-826.61799999999494</v>
      </c>
      <c r="O125" s="5">
        <v>-684</v>
      </c>
      <c r="P125" s="5">
        <v>0</v>
      </c>
      <c r="Q125" s="5" t="s">
        <v>98</v>
      </c>
      <c r="R125" s="5">
        <v>90.380000000000024</v>
      </c>
      <c r="S125" s="5"/>
      <c r="T125" s="5"/>
      <c r="U125" s="5"/>
      <c r="V125" s="5">
        <v>-1018.4579999999961</v>
      </c>
      <c r="W125" s="5">
        <v>8071.9999999999991</v>
      </c>
      <c r="X125" s="5">
        <v>8283.4236189750009</v>
      </c>
      <c r="Y125" s="5">
        <v>0</v>
      </c>
      <c r="Z125" s="5">
        <v>0</v>
      </c>
      <c r="AA125" s="5">
        <v>18934</v>
      </c>
      <c r="AB125" s="5">
        <v>-2227</v>
      </c>
      <c r="AC125" s="5">
        <v>0</v>
      </c>
      <c r="AD125" s="5" t="s">
        <v>98</v>
      </c>
      <c r="AE125" s="5">
        <v>0</v>
      </c>
      <c r="AF125" s="5"/>
      <c r="AG125" s="5"/>
      <c r="AH125" s="5"/>
      <c r="AI125" s="5">
        <v>16707</v>
      </c>
    </row>
    <row r="126" spans="1:35" x14ac:dyDescent="0.2">
      <c r="A126" s="75">
        <v>43098</v>
      </c>
      <c r="B126" s="5">
        <v>8071.9999999999991</v>
      </c>
      <c r="C126" s="5">
        <v>-1927.3553670874398</v>
      </c>
      <c r="D126" s="5">
        <v>-643.29820942256015</v>
      </c>
      <c r="E126" s="5">
        <v>-312.52692100000002</v>
      </c>
      <c r="F126" s="5">
        <v>4179</v>
      </c>
      <c r="G126" s="5">
        <v>-296.88099999999997</v>
      </c>
      <c r="H126" s="5">
        <v>0</v>
      </c>
      <c r="I126" s="5">
        <v>0</v>
      </c>
      <c r="J126" s="5">
        <v>-23.069038489999997</v>
      </c>
      <c r="K126" s="5">
        <v>9047.8694639999994</v>
      </c>
      <c r="L126" s="5">
        <v>0</v>
      </c>
      <c r="M126" s="5">
        <v>-533.61000000000058</v>
      </c>
      <c r="N126" s="5">
        <v>1859.7405360000012</v>
      </c>
      <c r="O126" s="5">
        <v>-1986</v>
      </c>
      <c r="P126" s="5">
        <v>0</v>
      </c>
      <c r="Q126" s="5" t="s">
        <v>98</v>
      </c>
      <c r="R126" s="5">
        <v>0</v>
      </c>
      <c r="S126" s="5"/>
      <c r="T126" s="5"/>
      <c r="U126" s="5"/>
      <c r="V126" s="5">
        <v>-659.86946399999943</v>
      </c>
      <c r="W126" s="5">
        <v>8388</v>
      </c>
      <c r="X126" s="5">
        <v>7597.1944117736357</v>
      </c>
      <c r="Y126" s="5">
        <v>0</v>
      </c>
      <c r="Z126" s="5">
        <v>-533</v>
      </c>
      <c r="AA126" s="5">
        <v>20808</v>
      </c>
      <c r="AB126" s="5">
        <v>-4213</v>
      </c>
      <c r="AC126" s="5">
        <v>0</v>
      </c>
      <c r="AD126" s="5" t="s">
        <v>98</v>
      </c>
      <c r="AE126" s="5">
        <v>0</v>
      </c>
      <c r="AF126" s="5"/>
      <c r="AG126" s="5"/>
      <c r="AH126" s="5"/>
      <c r="AI126" s="5">
        <v>16062</v>
      </c>
    </row>
    <row r="127" spans="1:35" x14ac:dyDescent="0.2">
      <c r="A127" s="75">
        <v>43131</v>
      </c>
      <c r="B127" s="5">
        <v>8388</v>
      </c>
      <c r="C127" s="5">
        <v>-4553.688949721397</v>
      </c>
      <c r="D127" s="5">
        <v>188.93254638139928</v>
      </c>
      <c r="E127" s="5">
        <v>-358.22199999999998</v>
      </c>
      <c r="F127" s="5">
        <v>0</v>
      </c>
      <c r="G127" s="5">
        <v>-593.904</v>
      </c>
      <c r="H127" s="5">
        <v>800</v>
      </c>
      <c r="I127" s="5">
        <v>0</v>
      </c>
      <c r="J127" s="5">
        <v>-15.016932890000003</v>
      </c>
      <c r="K127" s="5">
        <v>3856.1006637700025</v>
      </c>
      <c r="L127" s="5">
        <v>0</v>
      </c>
      <c r="M127" s="5">
        <v>-124.91999999999916</v>
      </c>
      <c r="N127" s="5">
        <v>978.99153699999806</v>
      </c>
      <c r="O127" s="5">
        <v>2814</v>
      </c>
      <c r="P127" s="5">
        <v>0</v>
      </c>
      <c r="Q127" s="5" t="s">
        <v>98</v>
      </c>
      <c r="R127" s="5">
        <v>-5.2199999999999989</v>
      </c>
      <c r="S127" s="5"/>
      <c r="T127" s="5"/>
      <c r="U127" s="5"/>
      <c r="V127" s="5">
        <v>3662.8515369999991</v>
      </c>
      <c r="W127" s="5">
        <v>7518.9522007700016</v>
      </c>
      <c r="X127" s="5">
        <v>7886.3653026337179</v>
      </c>
      <c r="Y127" s="5">
        <v>0</v>
      </c>
      <c r="Z127" s="5">
        <v>-648.65</v>
      </c>
      <c r="AA127" s="5">
        <v>21795</v>
      </c>
      <c r="AB127" s="5">
        <v>-1599</v>
      </c>
      <c r="AC127" s="5">
        <v>0</v>
      </c>
      <c r="AD127" s="5" t="s">
        <v>98</v>
      </c>
      <c r="AE127" s="5">
        <v>-5</v>
      </c>
      <c r="AF127" s="5"/>
      <c r="AG127" s="5"/>
      <c r="AH127" s="5"/>
      <c r="AI127" s="5">
        <v>19542.349999999999</v>
      </c>
    </row>
    <row r="128" spans="1:35" x14ac:dyDescent="0.2">
      <c r="A128" s="75">
        <v>43159</v>
      </c>
      <c r="B128" s="5">
        <v>7518.9522007700016</v>
      </c>
      <c r="C128" s="5">
        <v>-151.56525572999942</v>
      </c>
      <c r="D128" s="5">
        <v>95.612635749997878</v>
      </c>
      <c r="E128" s="5">
        <v>-466.83949999999999</v>
      </c>
      <c r="F128" s="5">
        <v>0</v>
      </c>
      <c r="G128" s="5">
        <v>-597.90599999999995</v>
      </c>
      <c r="H128" s="5">
        <v>600</v>
      </c>
      <c r="I128" s="5">
        <v>0</v>
      </c>
      <c r="J128" s="5">
        <v>-20.570124190000001</v>
      </c>
      <c r="K128" s="5">
        <v>6977.6839566000008</v>
      </c>
      <c r="L128" s="5">
        <v>0</v>
      </c>
      <c r="M128" s="5">
        <v>619.45000000000073</v>
      </c>
      <c r="N128" s="5">
        <v>-778.64300000000185</v>
      </c>
      <c r="O128" s="5">
        <v>614</v>
      </c>
      <c r="P128" s="5">
        <v>0</v>
      </c>
      <c r="Q128" s="5" t="s">
        <v>98</v>
      </c>
      <c r="R128" s="5">
        <v>-5.0499999999999972</v>
      </c>
      <c r="S128" s="5"/>
      <c r="T128" s="5"/>
      <c r="U128" s="5"/>
      <c r="V128" s="5">
        <v>449.75699999999887</v>
      </c>
      <c r="W128" s="5">
        <v>7427.4409565999995</v>
      </c>
      <c r="X128" s="5">
        <v>7870.2485874590011</v>
      </c>
      <c r="Y128" s="5">
        <v>0</v>
      </c>
      <c r="Z128" s="5">
        <v>-29</v>
      </c>
      <c r="AA128" s="5">
        <v>21033</v>
      </c>
      <c r="AB128" s="5">
        <v>-885</v>
      </c>
      <c r="AC128" s="5">
        <v>0</v>
      </c>
      <c r="AD128" s="5" t="s">
        <v>98</v>
      </c>
      <c r="AE128" s="5">
        <v>-10</v>
      </c>
      <c r="AF128" s="5"/>
      <c r="AG128" s="5"/>
      <c r="AH128" s="5"/>
      <c r="AI128" s="5">
        <v>20109</v>
      </c>
    </row>
    <row r="129" spans="1:35" x14ac:dyDescent="0.2">
      <c r="A129" s="75">
        <v>43188</v>
      </c>
      <c r="B129" s="5">
        <v>7427.4409565999995</v>
      </c>
      <c r="C129" s="5">
        <v>3707.6187255899995</v>
      </c>
      <c r="D129" s="5">
        <v>-70.53498686999967</v>
      </c>
      <c r="E129" s="5">
        <v>-1849.3151670000002</v>
      </c>
      <c r="F129" s="5">
        <v>0</v>
      </c>
      <c r="G129" s="5">
        <v>-594.81600000000003</v>
      </c>
      <c r="H129" s="5">
        <v>500</v>
      </c>
      <c r="I129" s="5">
        <v>0</v>
      </c>
      <c r="J129" s="5">
        <v>-30.840821919999993</v>
      </c>
      <c r="K129" s="5">
        <v>9089.5527063999998</v>
      </c>
      <c r="L129" s="5">
        <v>500</v>
      </c>
      <c r="M129" s="5">
        <v>29.199999999999818</v>
      </c>
      <c r="N129" s="5">
        <v>-900.72709789000146</v>
      </c>
      <c r="O129" s="5">
        <v>172</v>
      </c>
      <c r="P129" s="5">
        <v>0</v>
      </c>
      <c r="Q129" s="5" t="s">
        <v>98</v>
      </c>
      <c r="R129" s="5">
        <v>3.1499999999999773</v>
      </c>
      <c r="S129" s="5"/>
      <c r="T129" s="5"/>
      <c r="U129" s="5"/>
      <c r="V129" s="5">
        <v>-196.37709789000166</v>
      </c>
      <c r="W129" s="5">
        <v>8893.1756085099987</v>
      </c>
      <c r="X129" s="5">
        <v>7594.2217904113031</v>
      </c>
      <c r="Y129" s="5">
        <v>200</v>
      </c>
      <c r="Z129" s="5">
        <v>0</v>
      </c>
      <c r="AA129" s="5">
        <v>20155</v>
      </c>
      <c r="AB129" s="5">
        <v>-613</v>
      </c>
      <c r="AC129" s="5">
        <v>0</v>
      </c>
      <c r="AD129" s="5" t="s">
        <v>98</v>
      </c>
      <c r="AE129" s="5">
        <v>0</v>
      </c>
      <c r="AF129" s="5"/>
      <c r="AG129" s="5"/>
      <c r="AH129" s="5"/>
      <c r="AI129" s="5">
        <v>19742</v>
      </c>
    </row>
    <row r="130" spans="1:35" x14ac:dyDescent="0.2">
      <c r="A130" s="75">
        <v>43220</v>
      </c>
      <c r="B130" s="5">
        <v>8893.1756085099987</v>
      </c>
      <c r="C130" s="5">
        <v>1555.0236716130257</v>
      </c>
      <c r="D130" s="5">
        <v>252.3295766769736</v>
      </c>
      <c r="E130" s="5">
        <v>-390.61410000000001</v>
      </c>
      <c r="F130" s="5">
        <v>0</v>
      </c>
      <c r="G130" s="5">
        <v>-593.62099999999987</v>
      </c>
      <c r="H130" s="5">
        <v>500</v>
      </c>
      <c r="I130" s="5">
        <v>0</v>
      </c>
      <c r="J130" s="5">
        <v>-4.8509999999999973</v>
      </c>
      <c r="K130" s="5">
        <v>10211.442756799997</v>
      </c>
      <c r="L130" s="5">
        <v>-500</v>
      </c>
      <c r="M130" s="5">
        <v>0</v>
      </c>
      <c r="N130" s="5">
        <v>-1466.0609032799994</v>
      </c>
      <c r="O130" s="5">
        <v>-342</v>
      </c>
      <c r="P130" s="5">
        <v>0</v>
      </c>
      <c r="Q130" s="5" t="s">
        <v>98</v>
      </c>
      <c r="R130" s="5">
        <v>0</v>
      </c>
      <c r="S130" s="5"/>
      <c r="T130" s="5"/>
      <c r="U130" s="5"/>
      <c r="V130" s="5">
        <v>-2308.0609032799994</v>
      </c>
      <c r="W130" s="5">
        <v>7903.381853519998</v>
      </c>
      <c r="X130" s="5">
        <v>7614.4916507520484</v>
      </c>
      <c r="Y130" s="5">
        <v>0</v>
      </c>
      <c r="Z130" s="5">
        <v>-224</v>
      </c>
      <c r="AA130" s="5">
        <v>18711</v>
      </c>
      <c r="AB130" s="5">
        <v>-1055</v>
      </c>
      <c r="AC130" s="5">
        <v>0</v>
      </c>
      <c r="AD130" s="5" t="s">
        <v>98</v>
      </c>
      <c r="AE130" s="5">
        <v>0</v>
      </c>
      <c r="AF130" s="5"/>
      <c r="AG130" s="5"/>
      <c r="AH130" s="5"/>
      <c r="AI130" s="5">
        <v>17432</v>
      </c>
    </row>
    <row r="131" spans="1:35" x14ac:dyDescent="0.2">
      <c r="A131" s="75">
        <v>43251</v>
      </c>
      <c r="B131" s="5">
        <v>7903.381853519998</v>
      </c>
      <c r="C131" s="5">
        <v>-4051.1652268899998</v>
      </c>
      <c r="D131" s="5">
        <v>152.15398034999924</v>
      </c>
      <c r="E131" s="5">
        <v>205.09299999999999</v>
      </c>
      <c r="F131" s="5">
        <v>0</v>
      </c>
      <c r="G131" s="5">
        <v>-593.66903000000002</v>
      </c>
      <c r="H131" s="5">
        <v>600</v>
      </c>
      <c r="I131" s="5">
        <v>0</v>
      </c>
      <c r="J131" s="5">
        <v>-26.09</v>
      </c>
      <c r="K131" s="5">
        <v>4189.704576979997</v>
      </c>
      <c r="L131" s="5">
        <v>1300</v>
      </c>
      <c r="M131" s="5">
        <v>0</v>
      </c>
      <c r="N131" s="5">
        <v>1694.804642420002</v>
      </c>
      <c r="O131" s="5">
        <v>525</v>
      </c>
      <c r="P131" s="5">
        <v>-0.27799999999999159</v>
      </c>
      <c r="Q131" s="5" t="s">
        <v>98</v>
      </c>
      <c r="R131" s="5">
        <v>0</v>
      </c>
      <c r="S131" s="5"/>
      <c r="T131" s="5"/>
      <c r="U131" s="5"/>
      <c r="V131" s="5">
        <v>3519.5266424200022</v>
      </c>
      <c r="W131" s="5">
        <v>7709.2312193999987</v>
      </c>
      <c r="X131" s="5">
        <v>7762.4736069747833</v>
      </c>
      <c r="Y131" s="5">
        <v>1300</v>
      </c>
      <c r="Z131" s="5">
        <v>-203</v>
      </c>
      <c r="AA131" s="5">
        <v>20421</v>
      </c>
      <c r="AB131" s="5">
        <v>-430</v>
      </c>
      <c r="AC131" s="5">
        <v>0</v>
      </c>
      <c r="AD131" s="5" t="s">
        <v>98</v>
      </c>
      <c r="AE131" s="5">
        <v>0</v>
      </c>
      <c r="AF131" s="5"/>
      <c r="AG131" s="5"/>
      <c r="AH131" s="5"/>
      <c r="AI131" s="5">
        <v>21088</v>
      </c>
    </row>
    <row r="132" spans="1:35" x14ac:dyDescent="0.2">
      <c r="A132" s="75">
        <v>43280</v>
      </c>
      <c r="B132" s="5">
        <v>7709.2312193999987</v>
      </c>
      <c r="C132" s="5">
        <v>-322.41823451686378</v>
      </c>
      <c r="D132" s="5">
        <v>262.82272780686606</v>
      </c>
      <c r="E132" s="5">
        <v>-167.67300000000003</v>
      </c>
      <c r="F132" s="5">
        <v>0</v>
      </c>
      <c r="G132" s="5">
        <v>-593.57500000000005</v>
      </c>
      <c r="H132" s="5">
        <v>500</v>
      </c>
      <c r="I132" s="5">
        <v>0</v>
      </c>
      <c r="J132" s="5">
        <v>-30.918520000000001</v>
      </c>
      <c r="K132" s="5">
        <v>7357.4691926900014</v>
      </c>
      <c r="L132" s="5">
        <v>-500</v>
      </c>
      <c r="M132" s="5">
        <v>0</v>
      </c>
      <c r="N132" s="5">
        <v>1695.5308073099986</v>
      </c>
      <c r="O132" s="5">
        <v>-600</v>
      </c>
      <c r="P132" s="5">
        <v>0</v>
      </c>
      <c r="Q132" s="5" t="s">
        <v>98</v>
      </c>
      <c r="R132" s="5">
        <v>0</v>
      </c>
      <c r="S132" s="5"/>
      <c r="T132" s="5"/>
      <c r="U132" s="5"/>
      <c r="V132" s="5">
        <v>595.53080730999864</v>
      </c>
      <c r="W132" s="5">
        <v>7953</v>
      </c>
      <c r="X132" s="5">
        <v>7605.3554421957151</v>
      </c>
      <c r="Y132" s="5">
        <v>200</v>
      </c>
      <c r="Z132" s="5">
        <v>0</v>
      </c>
      <c r="AA132" s="5">
        <v>22134</v>
      </c>
      <c r="AB132" s="5">
        <v>-1030</v>
      </c>
      <c r="AC132" s="5">
        <v>0</v>
      </c>
      <c r="AD132" s="5" t="s">
        <v>98</v>
      </c>
      <c r="AE132" s="5">
        <v>0</v>
      </c>
      <c r="AF132" s="5"/>
      <c r="AG132" s="5"/>
      <c r="AH132" s="5"/>
      <c r="AI132" s="5">
        <v>21304</v>
      </c>
    </row>
    <row r="133" spans="1:35" x14ac:dyDescent="0.2">
      <c r="A133" s="75">
        <v>43312</v>
      </c>
      <c r="B133" s="5">
        <v>7953</v>
      </c>
      <c r="C133" s="5">
        <v>4075.6738335400028</v>
      </c>
      <c r="D133" s="5">
        <v>75.294402589997418</v>
      </c>
      <c r="E133" s="5">
        <v>45.763819999999981</v>
      </c>
      <c r="F133" s="5">
        <v>0</v>
      </c>
      <c r="G133" s="5">
        <v>-397.577</v>
      </c>
      <c r="H133" s="5">
        <v>400</v>
      </c>
      <c r="I133" s="5">
        <v>0</v>
      </c>
      <c r="J133" s="5">
        <v>-15.637547959999999</v>
      </c>
      <c r="K133" s="5">
        <v>12136.517508170002</v>
      </c>
      <c r="L133" s="5">
        <v>-800</v>
      </c>
      <c r="M133" s="5">
        <v>9.9999999999909051E-2</v>
      </c>
      <c r="N133" s="5">
        <v>-2300.0250000000015</v>
      </c>
      <c r="O133" s="5">
        <v>-1237</v>
      </c>
      <c r="P133" s="5">
        <v>0</v>
      </c>
      <c r="Q133" s="5" t="s">
        <v>98</v>
      </c>
      <c r="R133" s="5">
        <v>-37.680000000000007</v>
      </c>
      <c r="S133" s="5"/>
      <c r="T133" s="5"/>
      <c r="U133" s="5"/>
      <c r="V133" s="5">
        <v>-4374.6050000000014</v>
      </c>
      <c r="W133" s="5">
        <v>7761.9125081700004</v>
      </c>
      <c r="X133" s="5">
        <v>8094.3761152859079</v>
      </c>
      <c r="Y133" s="5">
        <v>0</v>
      </c>
      <c r="Z133" s="5">
        <v>0</v>
      </c>
      <c r="AA133" s="5">
        <v>19855</v>
      </c>
      <c r="AB133" s="5">
        <v>-2267</v>
      </c>
      <c r="AC133" s="5">
        <v>0</v>
      </c>
      <c r="AD133" s="5" t="s">
        <v>98</v>
      </c>
      <c r="AE133" s="5">
        <v>0</v>
      </c>
      <c r="AF133" s="5"/>
      <c r="AG133" s="5"/>
      <c r="AH133" s="5"/>
      <c r="AI133" s="5">
        <v>17588</v>
      </c>
    </row>
    <row r="134" spans="1:35" x14ac:dyDescent="0.2">
      <c r="A134" s="75">
        <v>43343</v>
      </c>
      <c r="B134" s="5">
        <v>7761.9125081700004</v>
      </c>
      <c r="C134" s="5">
        <v>-1936.9148187299988</v>
      </c>
      <c r="D134" s="5">
        <v>176.36261302999867</v>
      </c>
      <c r="E134" s="5">
        <v>-644.55500000000006</v>
      </c>
      <c r="F134" s="5">
        <v>0</v>
      </c>
      <c r="G134" s="5">
        <v>-592.78469999999993</v>
      </c>
      <c r="H134" s="5">
        <v>900</v>
      </c>
      <c r="I134" s="5">
        <v>0</v>
      </c>
      <c r="J134" s="5">
        <v>-18.885848489999997</v>
      </c>
      <c r="K134" s="5">
        <v>5645.1347539799999</v>
      </c>
      <c r="L134" s="5">
        <v>200</v>
      </c>
      <c r="M134" s="5">
        <v>0.42000000000007276</v>
      </c>
      <c r="N134" s="5">
        <v>525.59220900000037</v>
      </c>
      <c r="O134" s="5">
        <v>1127</v>
      </c>
      <c r="P134" s="5">
        <v>0</v>
      </c>
      <c r="Q134" s="5" t="s">
        <v>98</v>
      </c>
      <c r="R134" s="5">
        <v>0</v>
      </c>
      <c r="S134" s="5"/>
      <c r="T134" s="5"/>
      <c r="U134" s="5"/>
      <c r="V134" s="5">
        <v>1853.0122090000004</v>
      </c>
      <c r="W134" s="5">
        <v>7498.1469629800004</v>
      </c>
      <c r="X134" s="5">
        <v>7768.0256528756518</v>
      </c>
      <c r="Y134" s="5">
        <v>0</v>
      </c>
      <c r="Z134" s="5">
        <v>0</v>
      </c>
      <c r="AA134" s="5">
        <v>20400</v>
      </c>
      <c r="AB134" s="5">
        <v>-940</v>
      </c>
      <c r="AC134" s="5">
        <v>0</v>
      </c>
      <c r="AD134" s="5" t="s">
        <v>98</v>
      </c>
      <c r="AE134" s="5">
        <v>0</v>
      </c>
      <c r="AF134" s="5"/>
      <c r="AG134" s="5"/>
      <c r="AH134" s="5"/>
      <c r="AI134" s="5">
        <v>19460</v>
      </c>
    </row>
    <row r="135" spans="1:35" x14ac:dyDescent="0.2">
      <c r="A135" s="75">
        <v>43371</v>
      </c>
      <c r="B135" s="5">
        <v>7498.1469629800004</v>
      </c>
      <c r="C135" s="5">
        <v>1274.0947813899995</v>
      </c>
      <c r="D135" s="5">
        <v>266.54546437000226</v>
      </c>
      <c r="E135" s="5">
        <v>-788.02800000000002</v>
      </c>
      <c r="F135" s="5">
        <v>0</v>
      </c>
      <c r="G135" s="5">
        <v>-395.69487000000004</v>
      </c>
      <c r="H135" s="5">
        <v>600</v>
      </c>
      <c r="I135" s="5">
        <v>0</v>
      </c>
      <c r="J135" s="5">
        <v>-40.375419769999993</v>
      </c>
      <c r="K135" s="5">
        <v>8414.6889189700014</v>
      </c>
      <c r="L135" s="5">
        <v>-200</v>
      </c>
      <c r="M135" s="5">
        <v>0.21000000000003638</v>
      </c>
      <c r="N135" s="5">
        <v>-1015.0278000000008</v>
      </c>
      <c r="O135" s="5">
        <v>290</v>
      </c>
      <c r="P135" s="5">
        <v>0</v>
      </c>
      <c r="Q135" s="5" t="s">
        <v>98</v>
      </c>
      <c r="R135" s="5">
        <v>0</v>
      </c>
      <c r="S135" s="5"/>
      <c r="T135" s="5"/>
      <c r="U135" s="5"/>
      <c r="V135" s="5">
        <v>-924.81780000000072</v>
      </c>
      <c r="W135" s="5">
        <v>7489.8711189700007</v>
      </c>
      <c r="X135" s="5">
        <v>7853.2962457314989</v>
      </c>
      <c r="Y135" s="5">
        <v>0</v>
      </c>
      <c r="Z135" s="5">
        <v>0</v>
      </c>
      <c r="AA135" s="5">
        <v>19406</v>
      </c>
      <c r="AB135" s="5">
        <v>-650</v>
      </c>
      <c r="AC135" s="5">
        <v>0</v>
      </c>
      <c r="AD135" s="5" t="s">
        <v>98</v>
      </c>
      <c r="AE135" s="5">
        <v>0</v>
      </c>
      <c r="AF135" s="5"/>
      <c r="AG135" s="5"/>
      <c r="AH135" s="5"/>
      <c r="AI135" s="5">
        <v>18756</v>
      </c>
    </row>
    <row r="136" spans="1:35" x14ac:dyDescent="0.2">
      <c r="A136" s="75">
        <v>43404</v>
      </c>
      <c r="B136" s="5">
        <v>7489.8711189700007</v>
      </c>
      <c r="C136" s="5">
        <v>364.8495494099991</v>
      </c>
      <c r="D136" s="5">
        <v>615.76664976000006</v>
      </c>
      <c r="E136" s="5">
        <v>-822.35399999999993</v>
      </c>
      <c r="F136" s="5">
        <v>0</v>
      </c>
      <c r="G136" s="5">
        <v>-420.52199999999999</v>
      </c>
      <c r="H136" s="5">
        <v>500</v>
      </c>
      <c r="I136" s="5">
        <v>0</v>
      </c>
      <c r="J136" s="5">
        <v>-32.456962529999998</v>
      </c>
      <c r="K136" s="5">
        <v>7695.1543556099996</v>
      </c>
      <c r="L136" s="5">
        <v>1350</v>
      </c>
      <c r="M136" s="5">
        <v>0</v>
      </c>
      <c r="N136" s="5">
        <v>-1970.0367999999999</v>
      </c>
      <c r="O136" s="5">
        <v>18</v>
      </c>
      <c r="P136" s="5">
        <v>-8.3702999999999861E-2</v>
      </c>
      <c r="Q136" s="5" t="s">
        <v>98</v>
      </c>
      <c r="R136" s="5">
        <v>0</v>
      </c>
      <c r="S136" s="5"/>
      <c r="T136" s="5"/>
      <c r="U136" s="5"/>
      <c r="V136" s="5">
        <v>-602.12050299999987</v>
      </c>
      <c r="W136" s="5">
        <v>7093.0338526099995</v>
      </c>
      <c r="X136" s="5">
        <v>7445.5386753095654</v>
      </c>
      <c r="Y136" s="5">
        <v>1350</v>
      </c>
      <c r="Z136" s="5">
        <v>0</v>
      </c>
      <c r="AA136" s="5">
        <v>17488</v>
      </c>
      <c r="AB136" s="5">
        <v>-732</v>
      </c>
      <c r="AC136" s="5">
        <v>0</v>
      </c>
      <c r="AD136" s="5" t="s">
        <v>98</v>
      </c>
      <c r="AE136" s="5">
        <v>0</v>
      </c>
      <c r="AF136" s="5"/>
      <c r="AG136" s="5"/>
      <c r="AH136" s="5"/>
      <c r="AI136" s="5">
        <v>18106</v>
      </c>
    </row>
    <row r="137" spans="1:35" x14ac:dyDescent="0.2">
      <c r="A137" s="75">
        <v>43434</v>
      </c>
      <c r="B137" s="5">
        <v>7093.0338526099995</v>
      </c>
      <c r="C137" s="5">
        <v>65.498337729998639</v>
      </c>
      <c r="D137" s="5">
        <v>471.45234050000261</v>
      </c>
      <c r="E137" s="5">
        <v>-670.5809999999999</v>
      </c>
      <c r="F137" s="5">
        <v>0</v>
      </c>
      <c r="G137" s="5">
        <v>-692.45399999999995</v>
      </c>
      <c r="H137" s="5">
        <v>500</v>
      </c>
      <c r="I137" s="5">
        <v>0</v>
      </c>
      <c r="J137" s="5">
        <v>-28.557530839999998</v>
      </c>
      <c r="K137" s="5">
        <v>6738.3920000000007</v>
      </c>
      <c r="L137" s="5">
        <v>-100</v>
      </c>
      <c r="M137" s="5">
        <v>0</v>
      </c>
      <c r="N137" s="5">
        <v>74.60799999999972</v>
      </c>
      <c r="O137" s="5">
        <v>497</v>
      </c>
      <c r="P137" s="5">
        <v>0</v>
      </c>
      <c r="Q137" s="5" t="s">
        <v>98</v>
      </c>
      <c r="R137" s="5">
        <v>0</v>
      </c>
      <c r="S137" s="5"/>
      <c r="T137" s="5"/>
      <c r="U137" s="5"/>
      <c r="V137" s="5">
        <v>471.60799999999972</v>
      </c>
      <c r="W137" s="5">
        <v>7210</v>
      </c>
      <c r="X137" s="5">
        <v>7383.2337347613638</v>
      </c>
      <c r="Y137" s="5">
        <v>1250</v>
      </c>
      <c r="Z137" s="5">
        <v>0</v>
      </c>
      <c r="AA137" s="5">
        <v>17540</v>
      </c>
      <c r="AB137" s="5">
        <v>-135</v>
      </c>
      <c r="AC137" s="5">
        <v>0</v>
      </c>
      <c r="AD137" s="5" t="s">
        <v>98</v>
      </c>
      <c r="AE137" s="5">
        <v>0</v>
      </c>
      <c r="AF137" s="5"/>
      <c r="AG137" s="5"/>
      <c r="AH137" s="5"/>
      <c r="AI137" s="5">
        <v>18655</v>
      </c>
    </row>
    <row r="138" spans="1:35" x14ac:dyDescent="0.2">
      <c r="A138" s="75">
        <v>43465</v>
      </c>
      <c r="B138" s="5">
        <v>7210</v>
      </c>
      <c r="C138" s="5">
        <v>1961.3787980200016</v>
      </c>
      <c r="D138" s="5">
        <v>289.9462019799974</v>
      </c>
      <c r="E138" s="5">
        <v>-640.68799999999999</v>
      </c>
      <c r="F138" s="5">
        <v>0</v>
      </c>
      <c r="G138" s="5">
        <v>-940.16499999999996</v>
      </c>
      <c r="H138" s="5">
        <v>500</v>
      </c>
      <c r="I138" s="5">
        <v>0</v>
      </c>
      <c r="J138" s="5">
        <v>-29.907000000000004</v>
      </c>
      <c r="K138" s="5">
        <v>8350.5649999999987</v>
      </c>
      <c r="L138" s="5">
        <v>-1150</v>
      </c>
      <c r="M138" s="5">
        <v>0</v>
      </c>
      <c r="N138" s="5">
        <v>566.43500000000222</v>
      </c>
      <c r="O138" s="5">
        <v>-305</v>
      </c>
      <c r="P138" s="5">
        <v>0</v>
      </c>
      <c r="Q138" s="5" t="s">
        <v>98</v>
      </c>
      <c r="R138" s="5">
        <v>0</v>
      </c>
      <c r="S138" s="5"/>
      <c r="T138" s="5"/>
      <c r="U138" s="5"/>
      <c r="V138" s="5">
        <v>-888.56499999999778</v>
      </c>
      <c r="W138" s="5">
        <v>7462.0000000000009</v>
      </c>
      <c r="X138" s="5">
        <v>7485.0464183647609</v>
      </c>
      <c r="Y138" s="5">
        <v>100</v>
      </c>
      <c r="Z138" s="5">
        <v>-241</v>
      </c>
      <c r="AA138" s="5">
        <v>18123</v>
      </c>
      <c r="AB138" s="5">
        <v>-440</v>
      </c>
      <c r="AC138" s="5">
        <v>0</v>
      </c>
      <c r="AD138" s="5" t="s">
        <v>98</v>
      </c>
      <c r="AE138" s="5">
        <v>0</v>
      </c>
      <c r="AF138" s="5"/>
      <c r="AG138" s="5"/>
      <c r="AH138" s="5"/>
      <c r="AI138" s="5">
        <v>17542</v>
      </c>
    </row>
    <row r="139" spans="1:35" x14ac:dyDescent="0.2">
      <c r="A139" s="75">
        <v>43496</v>
      </c>
      <c r="B139" s="5">
        <v>7462.0000000000009</v>
      </c>
      <c r="C139" s="5">
        <v>-5140.4040643200024</v>
      </c>
      <c r="D139" s="5">
        <v>1326.1232925800005</v>
      </c>
      <c r="E139" s="5">
        <v>-471.55100000000004</v>
      </c>
      <c r="F139" s="5">
        <v>0</v>
      </c>
      <c r="G139" s="5">
        <v>-557.84999999999991</v>
      </c>
      <c r="H139" s="5">
        <v>385</v>
      </c>
      <c r="I139" s="5">
        <v>0</v>
      </c>
      <c r="J139" s="5">
        <v>-8.193897999999999</v>
      </c>
      <c r="K139" s="5">
        <v>2995.1243302599992</v>
      </c>
      <c r="L139" s="5">
        <v>565</v>
      </c>
      <c r="M139" s="5">
        <v>0</v>
      </c>
      <c r="N139" s="5">
        <v>3372.8056697400002</v>
      </c>
      <c r="O139" s="5">
        <v>95</v>
      </c>
      <c r="P139" s="5">
        <v>0</v>
      </c>
      <c r="Q139" s="5" t="s">
        <v>98</v>
      </c>
      <c r="R139" s="5">
        <v>7.0000000000000284E-2</v>
      </c>
      <c r="S139" s="5"/>
      <c r="T139" s="5"/>
      <c r="U139" s="5"/>
      <c r="V139" s="5">
        <v>4032.8756697400004</v>
      </c>
      <c r="W139" s="5">
        <v>7028</v>
      </c>
      <c r="X139" s="5">
        <v>7417.2134800073909</v>
      </c>
      <c r="Y139" s="5">
        <v>265</v>
      </c>
      <c r="Z139" s="5">
        <v>0</v>
      </c>
      <c r="AA139" s="5">
        <v>21507</v>
      </c>
      <c r="AB139" s="5">
        <v>-345</v>
      </c>
      <c r="AC139" s="5">
        <v>0</v>
      </c>
      <c r="AD139" s="5" t="s">
        <v>98</v>
      </c>
      <c r="AE139" s="5">
        <v>0</v>
      </c>
      <c r="AF139" s="5"/>
      <c r="AG139" s="5"/>
      <c r="AH139" s="5"/>
      <c r="AI139" s="5">
        <v>21427</v>
      </c>
    </row>
    <row r="140" spans="1:35" x14ac:dyDescent="0.2">
      <c r="A140" s="75">
        <v>43524</v>
      </c>
      <c r="B140" s="5">
        <v>7028</v>
      </c>
      <c r="C140" s="5">
        <v>-501.25317301000064</v>
      </c>
      <c r="D140" s="5">
        <v>810.40167301000065</v>
      </c>
      <c r="E140" s="5">
        <v>-810.89899999999989</v>
      </c>
      <c r="F140" s="5">
        <v>0</v>
      </c>
      <c r="G140" s="5">
        <v>-594.43200000000002</v>
      </c>
      <c r="H140" s="5">
        <v>450</v>
      </c>
      <c r="I140" s="5">
        <v>0</v>
      </c>
      <c r="J140" s="5">
        <v>-17.532500000000002</v>
      </c>
      <c r="K140" s="5">
        <v>6364.2849999999999</v>
      </c>
      <c r="L140" s="5">
        <v>1884.6869999999999</v>
      </c>
      <c r="M140" s="5">
        <v>0</v>
      </c>
      <c r="N140" s="5">
        <v>-1209.9720000000002</v>
      </c>
      <c r="O140" s="5">
        <v>235</v>
      </c>
      <c r="P140" s="5">
        <v>0</v>
      </c>
      <c r="Q140" s="5" t="s">
        <v>98</v>
      </c>
      <c r="R140" s="5">
        <v>0</v>
      </c>
      <c r="S140" s="5"/>
      <c r="T140" s="5"/>
      <c r="U140" s="5"/>
      <c r="V140" s="5">
        <v>909.71499999999969</v>
      </c>
      <c r="W140" s="5">
        <v>7274</v>
      </c>
      <c r="X140" s="5">
        <v>7214.0308738984995</v>
      </c>
      <c r="Y140" s="5">
        <v>2600</v>
      </c>
      <c r="Z140" s="5">
        <v>0</v>
      </c>
      <c r="AA140" s="5">
        <v>20310</v>
      </c>
      <c r="AB140" s="5">
        <v>-180</v>
      </c>
      <c r="AC140" s="5">
        <v>0</v>
      </c>
      <c r="AD140" s="5" t="s">
        <v>98</v>
      </c>
      <c r="AE140" s="5">
        <v>0</v>
      </c>
      <c r="AF140" s="5"/>
      <c r="AG140" s="5"/>
      <c r="AH140" s="5"/>
      <c r="AI140" s="5">
        <v>22730</v>
      </c>
    </row>
    <row r="141" spans="1:35" x14ac:dyDescent="0.2">
      <c r="A141" s="75">
        <v>43553</v>
      </c>
      <c r="B141" s="5">
        <v>7274</v>
      </c>
      <c r="C141" s="5">
        <v>1298.6708958199997</v>
      </c>
      <c r="D141" s="5">
        <v>509.66543307754142</v>
      </c>
      <c r="E141" s="5">
        <v>-568.65699999999993</v>
      </c>
      <c r="F141" s="5">
        <v>4509</v>
      </c>
      <c r="G141" s="5">
        <v>-545.29999999999995</v>
      </c>
      <c r="H141" s="5">
        <v>350</v>
      </c>
      <c r="I141" s="5">
        <v>0</v>
      </c>
      <c r="J141" s="5">
        <v>-17.215</v>
      </c>
      <c r="K141" s="5">
        <v>12810.164328897543</v>
      </c>
      <c r="L141" s="5">
        <v>-2600</v>
      </c>
      <c r="M141" s="5">
        <v>7.0000000001755325E-3</v>
      </c>
      <c r="N141" s="5">
        <v>-2214.4809999999998</v>
      </c>
      <c r="O141" s="5">
        <v>-639.69032889754294</v>
      </c>
      <c r="P141" s="5">
        <v>0</v>
      </c>
      <c r="Q141" s="5" t="s">
        <v>98</v>
      </c>
      <c r="R141" s="5">
        <v>0</v>
      </c>
      <c r="S141" s="5"/>
      <c r="T141" s="5"/>
      <c r="U141" s="5"/>
      <c r="V141" s="5">
        <v>-5454.1643288975429</v>
      </c>
      <c r="W141" s="5">
        <v>7356</v>
      </c>
      <c r="X141" s="5">
        <v>7282.9890553961895</v>
      </c>
      <c r="Y141" s="5">
        <v>0</v>
      </c>
      <c r="Z141" s="5">
        <v>0</v>
      </c>
      <c r="AA141" s="5">
        <v>18116</v>
      </c>
      <c r="AB141" s="5">
        <v>-750</v>
      </c>
      <c r="AC141" s="5">
        <v>0</v>
      </c>
      <c r="AD141" s="5" t="s">
        <v>98</v>
      </c>
      <c r="AE141" s="5">
        <v>0</v>
      </c>
      <c r="AF141" s="5"/>
      <c r="AG141" s="5"/>
      <c r="AH141" s="5"/>
      <c r="AI141" s="5">
        <v>17366</v>
      </c>
    </row>
    <row r="142" spans="1:35" x14ac:dyDescent="0.2">
      <c r="A142" s="75">
        <v>43585</v>
      </c>
      <c r="B142" s="5">
        <v>7356</v>
      </c>
      <c r="C142" s="5">
        <v>1916.2860941500016</v>
      </c>
      <c r="D142" s="5">
        <v>94.29400584999803</v>
      </c>
      <c r="E142" s="5">
        <v>-34.059000000000054</v>
      </c>
      <c r="F142" s="5">
        <v>0</v>
      </c>
      <c r="G142" s="5">
        <v>-297.63099999999997</v>
      </c>
      <c r="H142" s="5">
        <v>405</v>
      </c>
      <c r="I142" s="5">
        <v>0</v>
      </c>
      <c r="J142" s="5">
        <v>-5.3680000000000003</v>
      </c>
      <c r="K142" s="5">
        <v>9434.5221000000001</v>
      </c>
      <c r="L142" s="5">
        <v>0</v>
      </c>
      <c r="M142" s="5">
        <v>0</v>
      </c>
      <c r="N142" s="5">
        <v>-2108.5221000000001</v>
      </c>
      <c r="O142" s="5">
        <v>20</v>
      </c>
      <c r="P142" s="5">
        <v>0</v>
      </c>
      <c r="Q142" s="5" t="s">
        <v>98</v>
      </c>
      <c r="R142" s="5">
        <v>0</v>
      </c>
      <c r="S142" s="5"/>
      <c r="T142" s="5"/>
      <c r="U142" s="5"/>
      <c r="V142" s="5">
        <v>-2088.5221000000001</v>
      </c>
      <c r="W142" s="5">
        <v>7346</v>
      </c>
      <c r="X142" s="5">
        <v>7590.4684552949993</v>
      </c>
      <c r="Y142" s="5">
        <v>0</v>
      </c>
      <c r="Z142" s="5">
        <v>0</v>
      </c>
      <c r="AA142" s="5">
        <v>16020</v>
      </c>
      <c r="AB142" s="5">
        <v>-730</v>
      </c>
      <c r="AC142" s="5">
        <v>0</v>
      </c>
      <c r="AD142" s="5" t="s">
        <v>98</v>
      </c>
      <c r="AE142" s="5">
        <v>0</v>
      </c>
      <c r="AF142" s="5"/>
      <c r="AG142" s="5"/>
      <c r="AH142" s="5"/>
      <c r="AI142" s="5">
        <v>15290</v>
      </c>
    </row>
    <row r="143" spans="1:35" x14ac:dyDescent="0.2">
      <c r="A143" s="75">
        <v>43616</v>
      </c>
      <c r="B143" s="5">
        <v>7346</v>
      </c>
      <c r="C143" s="5">
        <v>-3617.0413033600025</v>
      </c>
      <c r="D143" s="5">
        <v>-328.24569663999671</v>
      </c>
      <c r="E143" s="5">
        <v>-168.03399999999999</v>
      </c>
      <c r="F143" s="5">
        <v>0</v>
      </c>
      <c r="G143" s="5">
        <v>-248.136</v>
      </c>
      <c r="H143" s="5">
        <v>700</v>
      </c>
      <c r="I143" s="5">
        <v>0</v>
      </c>
      <c r="J143" s="5">
        <v>-12.928000000000001</v>
      </c>
      <c r="K143" s="5">
        <v>3671.6150000000007</v>
      </c>
      <c r="L143" s="5">
        <v>0</v>
      </c>
      <c r="M143" s="5">
        <v>0</v>
      </c>
      <c r="N143" s="5">
        <v>2886.3849999999993</v>
      </c>
      <c r="O143" s="5">
        <v>297</v>
      </c>
      <c r="P143" s="5">
        <v>0</v>
      </c>
      <c r="Q143" s="5" t="s">
        <v>98</v>
      </c>
      <c r="R143" s="5">
        <v>3</v>
      </c>
      <c r="S143" s="5"/>
      <c r="T143" s="5"/>
      <c r="U143" s="5"/>
      <c r="V143" s="5">
        <v>3186.3849999999993</v>
      </c>
      <c r="W143" s="5">
        <v>6858</v>
      </c>
      <c r="X143" s="5">
        <v>7462.2066904186959</v>
      </c>
      <c r="Y143" s="5">
        <v>0</v>
      </c>
      <c r="Z143" s="5">
        <v>0</v>
      </c>
      <c r="AA143" s="5">
        <v>18926</v>
      </c>
      <c r="AB143" s="5">
        <v>-555</v>
      </c>
      <c r="AC143" s="5">
        <v>0</v>
      </c>
      <c r="AD143" s="5" t="s">
        <v>98</v>
      </c>
      <c r="AE143" s="5">
        <v>0</v>
      </c>
      <c r="AF143" s="5"/>
      <c r="AG143" s="5"/>
      <c r="AH143" s="5"/>
      <c r="AI143" s="5">
        <v>18371</v>
      </c>
    </row>
    <row r="144" spans="1:35" x14ac:dyDescent="0.2">
      <c r="A144" s="75">
        <v>43644</v>
      </c>
      <c r="B144" s="5">
        <v>6858</v>
      </c>
      <c r="C144" s="5">
        <v>975.17436237000038</v>
      </c>
      <c r="D144" s="5">
        <v>-105.57276237000103</v>
      </c>
      <c r="E144" s="5">
        <v>-147.68399999999994</v>
      </c>
      <c r="F144" s="5">
        <v>0</v>
      </c>
      <c r="G144" s="5">
        <v>-274.16899999999998</v>
      </c>
      <c r="H144" s="5">
        <v>950</v>
      </c>
      <c r="I144" s="5">
        <v>0</v>
      </c>
      <c r="J144" s="5">
        <v>-19.626599999999996</v>
      </c>
      <c r="K144" s="5">
        <v>8236.1219999999994</v>
      </c>
      <c r="L144" s="5">
        <v>0</v>
      </c>
      <c r="M144" s="5">
        <v>3.9999999999054126E-3</v>
      </c>
      <c r="N144" s="5">
        <v>-586.12599999999929</v>
      </c>
      <c r="O144" s="5">
        <v>-418</v>
      </c>
      <c r="P144" s="5">
        <v>0</v>
      </c>
      <c r="Q144" s="5" t="s">
        <v>98</v>
      </c>
      <c r="R144" s="5">
        <v>-2.9999999999999982</v>
      </c>
      <c r="S144" s="5"/>
      <c r="T144" s="5"/>
      <c r="U144" s="5"/>
      <c r="V144" s="5">
        <v>-1007.1219999999994</v>
      </c>
      <c r="W144" s="5">
        <v>7229</v>
      </c>
      <c r="X144" s="5">
        <v>7639.9095518187805</v>
      </c>
      <c r="Y144" s="5">
        <v>0</v>
      </c>
      <c r="Z144" s="5">
        <v>0</v>
      </c>
      <c r="AA144" s="5">
        <v>18350</v>
      </c>
      <c r="AB144" s="5">
        <v>-851</v>
      </c>
      <c r="AC144" s="5">
        <v>0</v>
      </c>
      <c r="AD144" s="5" t="s">
        <v>98</v>
      </c>
      <c r="AE144" s="5">
        <v>0</v>
      </c>
      <c r="AF144" s="5"/>
      <c r="AG144" s="5"/>
      <c r="AH144" s="5"/>
      <c r="AI144" s="5">
        <v>17499</v>
      </c>
    </row>
    <row r="145" spans="1:35" x14ac:dyDescent="0.2">
      <c r="A145" s="75">
        <v>43677</v>
      </c>
      <c r="B145" s="5">
        <v>7229</v>
      </c>
      <c r="C145" s="5">
        <v>3876.5533909697556</v>
      </c>
      <c r="D145" s="5">
        <v>210.65510903024551</v>
      </c>
      <c r="E145" s="5">
        <v>-958.66499999999996</v>
      </c>
      <c r="F145" s="5">
        <v>0</v>
      </c>
      <c r="G145" s="5">
        <v>-596.04499999999996</v>
      </c>
      <c r="H145" s="5">
        <v>850</v>
      </c>
      <c r="I145" s="5">
        <v>0</v>
      </c>
      <c r="J145" s="5">
        <v>-27.152499999999996</v>
      </c>
      <c r="K145" s="5">
        <v>10584.346</v>
      </c>
      <c r="L145" s="5">
        <v>900</v>
      </c>
      <c r="M145" s="5">
        <v>-96.368000000000393</v>
      </c>
      <c r="N145" s="5">
        <v>-2741.9569999999994</v>
      </c>
      <c r="O145" s="5">
        <v>-198</v>
      </c>
      <c r="P145" s="5">
        <v>-2.1000000000015007E-2</v>
      </c>
      <c r="Q145" s="5" t="s">
        <v>98</v>
      </c>
      <c r="R145" s="5">
        <v>0</v>
      </c>
      <c r="S145" s="5"/>
      <c r="T145" s="5"/>
      <c r="U145" s="5"/>
      <c r="V145" s="5">
        <v>-2136.346</v>
      </c>
      <c r="W145" s="5">
        <v>8448</v>
      </c>
      <c r="X145" s="5">
        <v>7763.7134682230444</v>
      </c>
      <c r="Y145" s="5">
        <v>900</v>
      </c>
      <c r="Z145" s="5">
        <v>-102.15</v>
      </c>
      <c r="AA145" s="5">
        <v>15617</v>
      </c>
      <c r="AB145" s="5">
        <v>-1176</v>
      </c>
      <c r="AC145" s="5">
        <v>0</v>
      </c>
      <c r="AD145" s="5" t="s">
        <v>98</v>
      </c>
      <c r="AE145" s="5">
        <v>0</v>
      </c>
      <c r="AF145" s="5"/>
      <c r="AG145" s="5"/>
      <c r="AH145" s="5"/>
      <c r="AI145" s="5">
        <v>15238.849999999999</v>
      </c>
    </row>
    <row r="146" spans="1:35" x14ac:dyDescent="0.2">
      <c r="A146" s="75">
        <v>43707</v>
      </c>
      <c r="B146" s="5">
        <v>8448</v>
      </c>
      <c r="C146" s="5">
        <v>-2244.1646818800009</v>
      </c>
      <c r="D146" s="5">
        <v>409.68768188000104</v>
      </c>
      <c r="E146" s="5">
        <v>-826.84500000000003</v>
      </c>
      <c r="F146" s="5">
        <v>0</v>
      </c>
      <c r="G146" s="5">
        <v>-398.05</v>
      </c>
      <c r="H146" s="5">
        <v>700</v>
      </c>
      <c r="I146" s="5">
        <v>0</v>
      </c>
      <c r="J146" s="5">
        <v>-23.864000000000001</v>
      </c>
      <c r="K146" s="5">
        <v>6064.7640000000001</v>
      </c>
      <c r="L146" s="5">
        <v>100</v>
      </c>
      <c r="M146" s="5">
        <v>102.25999999999976</v>
      </c>
      <c r="N146" s="5">
        <v>1661.91</v>
      </c>
      <c r="O146" s="5">
        <v>-80.934000000000196</v>
      </c>
      <c r="P146" s="5">
        <v>0</v>
      </c>
      <c r="Q146" s="5" t="s">
        <v>98</v>
      </c>
      <c r="R146" s="5">
        <v>0</v>
      </c>
      <c r="S146" s="5"/>
      <c r="T146" s="5"/>
      <c r="U146" s="5"/>
      <c r="V146" s="5">
        <v>1783.2359999999996</v>
      </c>
      <c r="W146" s="5">
        <v>7848</v>
      </c>
      <c r="X146" s="5">
        <v>7551.433953065909</v>
      </c>
      <c r="Y146" s="5">
        <v>1000</v>
      </c>
      <c r="Z146" s="5">
        <v>0</v>
      </c>
      <c r="AA146" s="5">
        <v>17288</v>
      </c>
      <c r="AB146" s="5">
        <v>-1112</v>
      </c>
      <c r="AC146" s="5">
        <v>0</v>
      </c>
      <c r="AD146" s="5" t="s">
        <v>98</v>
      </c>
      <c r="AE146" s="5">
        <v>0</v>
      </c>
      <c r="AF146" s="5"/>
      <c r="AG146" s="5"/>
      <c r="AH146" s="5"/>
      <c r="AI146" s="5">
        <v>17176</v>
      </c>
    </row>
    <row r="147" spans="1:35" x14ac:dyDescent="0.2">
      <c r="A147" s="75">
        <v>43738</v>
      </c>
      <c r="B147" s="5">
        <v>7848</v>
      </c>
      <c r="C147" s="5">
        <v>2618</v>
      </c>
      <c r="D147" s="5">
        <v>-11.652999999997519</v>
      </c>
      <c r="E147" s="5">
        <v>-2393</v>
      </c>
      <c r="F147" s="5">
        <v>0</v>
      </c>
      <c r="G147" s="5">
        <v>-298.55099999999999</v>
      </c>
      <c r="H147" s="5">
        <v>650</v>
      </c>
      <c r="I147" s="5">
        <v>0</v>
      </c>
      <c r="J147" s="5">
        <v>-31.426999999999996</v>
      </c>
      <c r="K147" s="5">
        <v>8381.3690000000024</v>
      </c>
      <c r="L147" s="5">
        <v>-1000</v>
      </c>
      <c r="M147" s="5">
        <v>-0.32100000000082218</v>
      </c>
      <c r="N147" s="5">
        <v>-29.158000000002176</v>
      </c>
      <c r="O147" s="5">
        <v>627</v>
      </c>
      <c r="P147" s="5">
        <v>0</v>
      </c>
      <c r="Q147" s="5" t="s">
        <v>98</v>
      </c>
      <c r="R147" s="5">
        <v>0.10999999999999943</v>
      </c>
      <c r="S147" s="5"/>
      <c r="T147" s="5"/>
      <c r="U147" s="5"/>
      <c r="V147" s="5">
        <v>-402.36900000000298</v>
      </c>
      <c r="W147" s="5">
        <v>7978.9999999999991</v>
      </c>
      <c r="X147" s="5">
        <v>7640.7646944938097</v>
      </c>
      <c r="Y147" s="5">
        <v>0</v>
      </c>
      <c r="Z147" s="5">
        <v>0</v>
      </c>
      <c r="AA147" s="5">
        <v>17051</v>
      </c>
      <c r="AB147" s="5">
        <v>-595</v>
      </c>
      <c r="AC147" s="5">
        <v>0</v>
      </c>
      <c r="AD147" s="5" t="s">
        <v>98</v>
      </c>
      <c r="AE147" s="5">
        <v>0</v>
      </c>
      <c r="AF147" s="5"/>
      <c r="AG147" s="5"/>
      <c r="AH147" s="5"/>
      <c r="AI147" s="5">
        <v>16456</v>
      </c>
    </row>
    <row r="148" spans="1:35" x14ac:dyDescent="0.2">
      <c r="A148" s="75">
        <v>43769</v>
      </c>
      <c r="B148" s="5">
        <v>7978.9999999999991</v>
      </c>
      <c r="C148" s="5">
        <v>1411</v>
      </c>
      <c r="D148" s="5">
        <v>-204.31400000000031</v>
      </c>
      <c r="E148" s="5">
        <v>-1095.2939999999999</v>
      </c>
      <c r="F148" s="5">
        <v>0</v>
      </c>
      <c r="G148" s="5">
        <v>-298.70900000000006</v>
      </c>
      <c r="H148" s="5">
        <v>385</v>
      </c>
      <c r="I148" s="5">
        <v>0</v>
      </c>
      <c r="J148" s="5">
        <v>-13.577999999999996</v>
      </c>
      <c r="K148" s="5">
        <v>8163.1049999999996</v>
      </c>
      <c r="L148" s="5">
        <v>1050</v>
      </c>
      <c r="M148" s="5">
        <v>-202.26999999999998</v>
      </c>
      <c r="N148" s="5">
        <v>-2294.5609999999997</v>
      </c>
      <c r="O148" s="5">
        <v>85.036000000000513</v>
      </c>
      <c r="P148" s="5">
        <v>0</v>
      </c>
      <c r="Q148" s="5" t="s">
        <v>98</v>
      </c>
      <c r="R148" s="5">
        <v>-0.31000000000000227</v>
      </c>
      <c r="S148" s="5"/>
      <c r="T148" s="5"/>
      <c r="U148" s="5"/>
      <c r="V148" s="5">
        <v>-1362.1049999999991</v>
      </c>
      <c r="W148" s="5">
        <v>6801</v>
      </c>
      <c r="X148" s="5">
        <v>7296.4985319067</v>
      </c>
      <c r="Y148" s="5">
        <v>750</v>
      </c>
      <c r="Z148" s="5">
        <v>-202</v>
      </c>
      <c r="AA148" s="5">
        <v>14980</v>
      </c>
      <c r="AB148" s="5">
        <v>-400</v>
      </c>
      <c r="AC148" s="5">
        <v>0</v>
      </c>
      <c r="AD148" s="5" t="s">
        <v>98</v>
      </c>
      <c r="AE148" s="5">
        <v>0</v>
      </c>
      <c r="AF148" s="5"/>
      <c r="AG148" s="5"/>
      <c r="AH148" s="5"/>
      <c r="AI148" s="5">
        <v>15128</v>
      </c>
    </row>
    <row r="149" spans="1:35" x14ac:dyDescent="0.2">
      <c r="A149" s="75">
        <v>43798</v>
      </c>
      <c r="B149" s="5">
        <v>6801</v>
      </c>
      <c r="C149" s="5">
        <v>1070</v>
      </c>
      <c r="D149" s="5">
        <v>9.2019999999993161</v>
      </c>
      <c r="E149" s="5">
        <v>-703.36899999999991</v>
      </c>
      <c r="F149" s="5">
        <v>0</v>
      </c>
      <c r="G149" s="5">
        <v>-357.94600000000003</v>
      </c>
      <c r="H149" s="5">
        <v>450</v>
      </c>
      <c r="I149" s="5">
        <v>0</v>
      </c>
      <c r="J149" s="5">
        <v>-23.283999999999999</v>
      </c>
      <c r="K149" s="5">
        <v>7245.6030000000001</v>
      </c>
      <c r="L149" s="5">
        <v>-1050</v>
      </c>
      <c r="M149" s="5">
        <v>202.30000000000018</v>
      </c>
      <c r="N149" s="5">
        <v>1384.0969999999993</v>
      </c>
      <c r="O149" s="5">
        <v>-410</v>
      </c>
      <c r="P149" s="5">
        <v>0</v>
      </c>
      <c r="Q149" s="5" t="s">
        <v>98</v>
      </c>
      <c r="R149" s="5">
        <v>0</v>
      </c>
      <c r="S149" s="5"/>
      <c r="T149" s="5"/>
      <c r="U149" s="5"/>
      <c r="V149" s="5">
        <v>126.39699999999948</v>
      </c>
      <c r="W149" s="5">
        <v>7372</v>
      </c>
      <c r="X149" s="5">
        <v>7553.264958958096</v>
      </c>
      <c r="Y149" s="5">
        <v>0</v>
      </c>
      <c r="Z149" s="5">
        <v>0</v>
      </c>
      <c r="AA149" s="5">
        <v>16372</v>
      </c>
      <c r="AB149" s="5">
        <v>-810</v>
      </c>
      <c r="AC149" s="5">
        <v>0</v>
      </c>
      <c r="AD149" s="5" t="s">
        <v>98</v>
      </c>
      <c r="AE149" s="5">
        <v>0</v>
      </c>
      <c r="AF149" s="5"/>
      <c r="AG149" s="5"/>
      <c r="AH149" s="5"/>
      <c r="AI149" s="5">
        <v>15562</v>
      </c>
    </row>
    <row r="150" spans="1:35" x14ac:dyDescent="0.2">
      <c r="A150" s="75">
        <v>43830</v>
      </c>
      <c r="B150" s="5">
        <v>7372</v>
      </c>
      <c r="C150" s="5">
        <v>2024</v>
      </c>
      <c r="D150" s="5">
        <v>-779.52900000000045</v>
      </c>
      <c r="E150" s="5">
        <v>-626.58100000000002</v>
      </c>
      <c r="F150" s="5">
        <v>0</v>
      </c>
      <c r="G150" s="5">
        <v>-348.096</v>
      </c>
      <c r="H150" s="5">
        <v>400</v>
      </c>
      <c r="I150" s="5">
        <v>0</v>
      </c>
      <c r="J150" s="5">
        <v>-31.750999999999998</v>
      </c>
      <c r="K150" s="5">
        <v>8010.0429999999997</v>
      </c>
      <c r="L150" s="5">
        <v>600</v>
      </c>
      <c r="M150" s="5">
        <v>0</v>
      </c>
      <c r="N150" s="5">
        <v>-743.04299999999955</v>
      </c>
      <c r="O150" s="5">
        <v>-415</v>
      </c>
      <c r="P150" s="5">
        <v>0</v>
      </c>
      <c r="Q150" s="5" t="s">
        <v>98</v>
      </c>
      <c r="R150" s="5">
        <v>0</v>
      </c>
      <c r="S150" s="5"/>
      <c r="T150" s="5"/>
      <c r="U150" s="5"/>
      <c r="V150" s="5">
        <v>-558.04299999999955</v>
      </c>
      <c r="W150" s="5">
        <v>7452</v>
      </c>
      <c r="X150" s="5">
        <v>7458.3945469963628</v>
      </c>
      <c r="Y150" s="5">
        <v>600</v>
      </c>
      <c r="Z150" s="5">
        <v>0</v>
      </c>
      <c r="AA150" s="5">
        <v>15639</v>
      </c>
      <c r="AB150" s="5">
        <v>-1225</v>
      </c>
      <c r="AC150" s="5">
        <v>0</v>
      </c>
      <c r="AD150" s="5" t="s">
        <v>98</v>
      </c>
      <c r="AE150" s="5">
        <v>0</v>
      </c>
      <c r="AF150" s="5"/>
      <c r="AG150" s="5"/>
      <c r="AH150" s="5"/>
      <c r="AI150" s="5">
        <v>15014</v>
      </c>
    </row>
    <row r="151" spans="1:35" x14ac:dyDescent="0.2">
      <c r="A151" s="75">
        <v>43861</v>
      </c>
      <c r="B151" s="5">
        <v>7452</v>
      </c>
      <c r="C151" s="5">
        <v>-5705.8688894858824</v>
      </c>
      <c r="D151" s="5">
        <v>1235</v>
      </c>
      <c r="E151" s="5">
        <v>-414.71199999999999</v>
      </c>
      <c r="F151" s="5">
        <v>0</v>
      </c>
      <c r="G151" s="5">
        <v>-297.97699999999998</v>
      </c>
      <c r="H151" s="5">
        <v>460</v>
      </c>
      <c r="I151" s="5">
        <v>0</v>
      </c>
      <c r="J151" s="5">
        <v>-8.916368499999999</v>
      </c>
      <c r="K151" s="5">
        <v>2719</v>
      </c>
      <c r="L151" s="5">
        <v>0</v>
      </c>
      <c r="M151" s="5">
        <v>0.17000000000007276</v>
      </c>
      <c r="N151" s="5">
        <v>3797.59</v>
      </c>
      <c r="O151" s="5">
        <v>905</v>
      </c>
      <c r="P151" s="5">
        <v>0</v>
      </c>
      <c r="Q151" s="5" t="s">
        <v>98</v>
      </c>
      <c r="R151" s="5">
        <v>0</v>
      </c>
      <c r="S151" s="5"/>
      <c r="T151" s="5"/>
      <c r="U151" s="5"/>
      <c r="V151" s="5">
        <v>4702.76</v>
      </c>
      <c r="W151" s="5">
        <v>7422</v>
      </c>
      <c r="X151" s="5">
        <v>7430.3811756268806</v>
      </c>
      <c r="Y151" s="5">
        <v>600</v>
      </c>
      <c r="Z151" s="5">
        <v>0</v>
      </c>
      <c r="AA151" s="5">
        <v>19439</v>
      </c>
      <c r="AB151" s="5">
        <v>-320</v>
      </c>
      <c r="AC151" s="5">
        <v>0</v>
      </c>
      <c r="AD151" s="5" t="s">
        <v>98</v>
      </c>
      <c r="AE151" s="5">
        <v>0</v>
      </c>
      <c r="AF151" s="5"/>
      <c r="AG151" s="5"/>
      <c r="AH151" s="5"/>
      <c r="AI151" s="5">
        <v>19719</v>
      </c>
    </row>
    <row r="152" spans="1:35" x14ac:dyDescent="0.2">
      <c r="A152" s="75">
        <v>43889</v>
      </c>
      <c r="B152" s="5">
        <v>7422</v>
      </c>
      <c r="C152" s="5">
        <v>1070.1918156700003</v>
      </c>
      <c r="D152" s="5">
        <v>732</v>
      </c>
      <c r="E152" s="5">
        <v>-820.85100000000011</v>
      </c>
      <c r="F152" s="5">
        <v>0</v>
      </c>
      <c r="G152" s="5">
        <v>-497.291</v>
      </c>
      <c r="H152" s="5">
        <v>400</v>
      </c>
      <c r="I152" s="5">
        <v>0</v>
      </c>
      <c r="J152" s="5">
        <v>-12.693897249999999</v>
      </c>
      <c r="K152" s="5">
        <v>8293</v>
      </c>
      <c r="L152" s="5">
        <v>-200</v>
      </c>
      <c r="M152" s="5">
        <v>-0.23999999999978172</v>
      </c>
      <c r="N152" s="5">
        <v>65.908999999997832</v>
      </c>
      <c r="O152" s="5">
        <v>-747.84799999999996</v>
      </c>
      <c r="P152" s="5">
        <v>0</v>
      </c>
      <c r="Q152" s="5" t="s">
        <v>98</v>
      </c>
      <c r="R152" s="5">
        <v>0</v>
      </c>
      <c r="S152" s="5"/>
      <c r="T152" s="5"/>
      <c r="U152" s="5"/>
      <c r="V152" s="5">
        <v>-882.17900000000191</v>
      </c>
      <c r="W152" s="5">
        <v>7411</v>
      </c>
      <c r="X152" s="5">
        <v>7799.7813517564991</v>
      </c>
      <c r="Y152" s="5">
        <v>400</v>
      </c>
      <c r="Z152" s="5">
        <v>0</v>
      </c>
      <c r="AA152" s="5">
        <v>19511</v>
      </c>
      <c r="AB152" s="5">
        <v>-1068</v>
      </c>
      <c r="AC152" s="5">
        <v>0</v>
      </c>
      <c r="AD152" s="5" t="s">
        <v>98</v>
      </c>
      <c r="AE152" s="5">
        <v>0</v>
      </c>
      <c r="AF152" s="5"/>
      <c r="AG152" s="5"/>
      <c r="AH152" s="5"/>
      <c r="AI152" s="5">
        <v>18843</v>
      </c>
    </row>
    <row r="153" spans="1:35" x14ac:dyDescent="0.2">
      <c r="A153" s="75">
        <v>43921</v>
      </c>
      <c r="B153" s="5">
        <v>7411</v>
      </c>
      <c r="C153" s="5">
        <v>6805</v>
      </c>
      <c r="D153" s="5">
        <v>45</v>
      </c>
      <c r="E153" s="5">
        <v>-1039</v>
      </c>
      <c r="F153" s="5">
        <v>0</v>
      </c>
      <c r="G153" s="5">
        <v>-849</v>
      </c>
      <c r="H153" s="5">
        <v>225</v>
      </c>
      <c r="I153" s="5">
        <v>0</v>
      </c>
      <c r="J153" s="5">
        <v>-7</v>
      </c>
      <c r="K153" s="5">
        <v>12591</v>
      </c>
      <c r="L153" s="5">
        <v>964</v>
      </c>
      <c r="M153" s="5">
        <v>0</v>
      </c>
      <c r="N153" s="5">
        <v>6866</v>
      </c>
      <c r="O153" s="5">
        <v>363</v>
      </c>
      <c r="P153" s="5">
        <v>0</v>
      </c>
      <c r="Q153" s="5" t="s">
        <v>98</v>
      </c>
      <c r="R153" s="5">
        <v>0</v>
      </c>
      <c r="S153" s="5">
        <v>1096</v>
      </c>
      <c r="T153" s="5"/>
      <c r="U153" s="5"/>
      <c r="V153" s="5">
        <v>9289</v>
      </c>
      <c r="W153" s="5">
        <v>21880</v>
      </c>
      <c r="X153" s="5">
        <v>12347</v>
      </c>
      <c r="Y153" s="5">
        <v>1364</v>
      </c>
      <c r="Z153" s="5">
        <v>0</v>
      </c>
      <c r="AA153" s="5">
        <v>26805</v>
      </c>
      <c r="AB153" s="5">
        <v>-723</v>
      </c>
      <c r="AC153" s="5">
        <v>0</v>
      </c>
      <c r="AD153" s="5" t="s">
        <v>98</v>
      </c>
      <c r="AE153" s="5">
        <v>0</v>
      </c>
      <c r="AF153" s="5"/>
      <c r="AG153" s="5">
        <v>950</v>
      </c>
      <c r="AH153" s="5"/>
      <c r="AI153" s="5">
        <v>28396</v>
      </c>
    </row>
    <row r="154" spans="1:35" x14ac:dyDescent="0.2">
      <c r="A154" s="75">
        <v>43951</v>
      </c>
      <c r="B154" s="5">
        <v>21880</v>
      </c>
      <c r="C154" s="5">
        <v>8267</v>
      </c>
      <c r="D154" s="5">
        <v>2674</v>
      </c>
      <c r="E154" s="5">
        <v>-6380</v>
      </c>
      <c r="F154" s="5">
        <v>3410</v>
      </c>
      <c r="G154" s="5">
        <v>-4593</v>
      </c>
      <c r="H154" s="5">
        <v>150</v>
      </c>
      <c r="I154" s="5">
        <v>0</v>
      </c>
      <c r="J154" s="5">
        <v>-17</v>
      </c>
      <c r="K154" s="5">
        <v>25391</v>
      </c>
      <c r="L154" s="5">
        <v>-283</v>
      </c>
      <c r="M154" s="5">
        <v>0</v>
      </c>
      <c r="N154" s="5">
        <v>-4523</v>
      </c>
      <c r="O154" s="5">
        <v>615</v>
      </c>
      <c r="P154" s="5">
        <v>0</v>
      </c>
      <c r="Q154" s="5" t="s">
        <v>98</v>
      </c>
      <c r="R154" s="5">
        <v>-88</v>
      </c>
      <c r="S154" s="5">
        <v>7577</v>
      </c>
      <c r="T154" s="5"/>
      <c r="U154" s="5"/>
      <c r="V154" s="5">
        <v>3298</v>
      </c>
      <c r="W154" s="5">
        <v>28689</v>
      </c>
      <c r="X154" s="5">
        <v>28445</v>
      </c>
      <c r="Y154" s="5">
        <v>1083</v>
      </c>
      <c r="Z154" s="5">
        <v>0</v>
      </c>
      <c r="AA154" s="5">
        <v>21884</v>
      </c>
      <c r="AB154" s="5">
        <v>-90</v>
      </c>
      <c r="AC154" s="5">
        <v>0</v>
      </c>
      <c r="AD154" s="5" t="s">
        <v>98</v>
      </c>
      <c r="AE154" s="5">
        <v>-88</v>
      </c>
      <c r="AF154" s="5"/>
      <c r="AG154" s="5">
        <v>8027</v>
      </c>
      <c r="AH154" s="5"/>
      <c r="AI154" s="5">
        <v>30816</v>
      </c>
    </row>
    <row r="155" spans="1:35" x14ac:dyDescent="0.2">
      <c r="A155" s="75">
        <v>43980</v>
      </c>
      <c r="B155" s="5">
        <v>28689</v>
      </c>
      <c r="C155" s="5">
        <v>-1808.2720771099982</v>
      </c>
      <c r="D155" s="5">
        <v>121.88652554099997</v>
      </c>
      <c r="E155" s="5">
        <v>-4769.4610000000002</v>
      </c>
      <c r="F155" s="5">
        <v>0</v>
      </c>
      <c r="G155" s="5">
        <v>-3196.6589999999997</v>
      </c>
      <c r="H155" s="5">
        <v>300</v>
      </c>
      <c r="I155" s="5">
        <v>0</v>
      </c>
      <c r="J155" s="5">
        <v>-8.8000000000000522E-2</v>
      </c>
      <c r="K155" s="5">
        <v>19336.406448431</v>
      </c>
      <c r="L155" s="5">
        <v>160</v>
      </c>
      <c r="M155" s="5">
        <v>0</v>
      </c>
      <c r="N155" s="5">
        <v>-792.84900000000107</v>
      </c>
      <c r="O155" s="5">
        <v>15</v>
      </c>
      <c r="P155" s="5">
        <v>0</v>
      </c>
      <c r="Q155" s="5" t="s">
        <v>98</v>
      </c>
      <c r="R155" s="5">
        <v>-61.999999999999943</v>
      </c>
      <c r="S155" s="5">
        <v>7342.1879999999992</v>
      </c>
      <c r="T155" s="5">
        <v>2</v>
      </c>
      <c r="U155" s="5"/>
      <c r="V155" s="5">
        <v>6664.3389999999981</v>
      </c>
      <c r="W155" s="5">
        <v>26000.745448431</v>
      </c>
      <c r="X155" s="5">
        <v>28856.375070162383</v>
      </c>
      <c r="Y155" s="5">
        <v>1243</v>
      </c>
      <c r="Z155" s="5">
        <v>0</v>
      </c>
      <c r="AA155" s="5">
        <v>21096</v>
      </c>
      <c r="AB155" s="5">
        <v>-74.957528897543853</v>
      </c>
      <c r="AC155" s="5">
        <v>0</v>
      </c>
      <c r="AD155" s="5" t="s">
        <v>98</v>
      </c>
      <c r="AE155" s="5">
        <v>-150</v>
      </c>
      <c r="AF155" s="5">
        <v>2</v>
      </c>
      <c r="AG155" s="5">
        <v>13982</v>
      </c>
      <c r="AH155" s="5"/>
      <c r="AI155" s="5">
        <v>36098.042471102453</v>
      </c>
    </row>
    <row r="156" spans="1:35" x14ac:dyDescent="0.2">
      <c r="A156" s="75">
        <v>44012</v>
      </c>
      <c r="B156" s="5">
        <v>26001.347167570002</v>
      </c>
      <c r="C156" s="5">
        <v>5183.1620358500004</v>
      </c>
      <c r="D156" s="5">
        <v>172.85989965999991</v>
      </c>
      <c r="E156" s="5">
        <v>-12024.682000000001</v>
      </c>
      <c r="F156" s="5">
        <v>0</v>
      </c>
      <c r="G156" s="5">
        <v>-2097.3739999999998</v>
      </c>
      <c r="H156" s="5">
        <v>475</v>
      </c>
      <c r="I156" s="5">
        <v>0</v>
      </c>
      <c r="J156" s="5">
        <v>-3.4240000000000004</v>
      </c>
      <c r="K156" s="5">
        <v>17706.889103080004</v>
      </c>
      <c r="L156" s="5">
        <v>-364</v>
      </c>
      <c r="M156" s="5">
        <v>0</v>
      </c>
      <c r="N156" s="5">
        <v>307.79600000000028</v>
      </c>
      <c r="O156" s="5">
        <v>-24.980000000000018</v>
      </c>
      <c r="P156" s="5">
        <v>0</v>
      </c>
      <c r="Q156" s="5" t="s">
        <v>98</v>
      </c>
      <c r="R156" s="5">
        <v>-16.036000000000058</v>
      </c>
      <c r="S156" s="5">
        <v>5762.2400000000007</v>
      </c>
      <c r="T156" s="5">
        <v>16</v>
      </c>
      <c r="U156" s="5"/>
      <c r="V156" s="5">
        <v>5681.02</v>
      </c>
      <c r="W156" s="5">
        <v>23387.909103080005</v>
      </c>
      <c r="X156" s="5">
        <v>26968.526014771356</v>
      </c>
      <c r="Y156" s="5">
        <v>879</v>
      </c>
      <c r="Z156" s="5">
        <v>0</v>
      </c>
      <c r="AA156" s="5">
        <v>21409.023925230475</v>
      </c>
      <c r="AB156" s="5">
        <v>-99.937528897543856</v>
      </c>
      <c r="AC156" s="5">
        <v>0</v>
      </c>
      <c r="AD156" s="5" t="s">
        <v>98</v>
      </c>
      <c r="AE156" s="5">
        <v>-166</v>
      </c>
      <c r="AF156" s="5">
        <v>18</v>
      </c>
      <c r="AG156" s="5">
        <v>18633</v>
      </c>
      <c r="AH156" s="5"/>
      <c r="AI156" s="5">
        <v>40673.086396332932</v>
      </c>
    </row>
    <row r="157" spans="1:35" x14ac:dyDescent="0.2">
      <c r="A157" s="75">
        <v>44043</v>
      </c>
      <c r="B157" s="5">
        <v>23387.597351010001</v>
      </c>
      <c r="C157" s="5">
        <v>5373.2970419100002</v>
      </c>
      <c r="D157" s="5">
        <v>59.888519774895201</v>
      </c>
      <c r="E157" s="5">
        <v>-7815.9380000000001</v>
      </c>
      <c r="F157" s="5">
        <v>0</v>
      </c>
      <c r="G157" s="5">
        <v>-1598.1220000000001</v>
      </c>
      <c r="H157" s="5">
        <v>2450</v>
      </c>
      <c r="I157" s="5">
        <v>0</v>
      </c>
      <c r="J157" s="5">
        <v>-0.14071056999999954</v>
      </c>
      <c r="K157" s="5">
        <v>21856.582202124901</v>
      </c>
      <c r="L157" s="5">
        <v>-19.00518576</v>
      </c>
      <c r="M157" s="5">
        <v>0</v>
      </c>
      <c r="N157" s="5">
        <v>-3627.0177748400001</v>
      </c>
      <c r="O157" s="5">
        <v>99.980825595091346</v>
      </c>
      <c r="P157" s="5">
        <v>0</v>
      </c>
      <c r="Q157" s="5" t="s">
        <v>98</v>
      </c>
      <c r="R157" s="5">
        <v>95.187853340000174</v>
      </c>
      <c r="S157" s="5">
        <v>5455.2443907699999</v>
      </c>
      <c r="T157" s="5">
        <v>9</v>
      </c>
      <c r="U157" s="5"/>
      <c r="V157" s="5">
        <v>2013.3901091050911</v>
      </c>
      <c r="W157" s="5">
        <v>23869.972311229991</v>
      </c>
      <c r="X157" s="5">
        <v>25451.809929930001</v>
      </c>
      <c r="Y157" s="5">
        <v>860</v>
      </c>
      <c r="Z157" s="5">
        <v>0</v>
      </c>
      <c r="AA157" s="5">
        <v>18045.360724369995</v>
      </c>
      <c r="AB157" s="5">
        <v>0</v>
      </c>
      <c r="AC157" s="5">
        <v>0</v>
      </c>
      <c r="AD157" s="5" t="s">
        <v>98</v>
      </c>
      <c r="AE157" s="5">
        <v>-71.098169429999999</v>
      </c>
      <c r="AF157" s="5">
        <v>27</v>
      </c>
      <c r="AG157" s="5">
        <v>23210</v>
      </c>
      <c r="AH157" s="5"/>
      <c r="AI157" s="5">
        <v>42071.262554939996</v>
      </c>
    </row>
    <row r="158" spans="1:35" x14ac:dyDescent="0.2">
      <c r="A158" s="75">
        <v>44074</v>
      </c>
      <c r="B158" s="5">
        <v>23869.972311229994</v>
      </c>
      <c r="C158" s="5">
        <v>556.87027326999862</v>
      </c>
      <c r="D158" s="5">
        <v>-118.9249589399958</v>
      </c>
      <c r="E158" s="5">
        <v>-4399.5940000000001</v>
      </c>
      <c r="F158" s="5">
        <v>0</v>
      </c>
      <c r="G158" s="5">
        <v>-1498.3619999999999</v>
      </c>
      <c r="H158" s="5">
        <v>1610</v>
      </c>
      <c r="I158" s="5">
        <v>0</v>
      </c>
      <c r="J158" s="5">
        <v>-12.38</v>
      </c>
      <c r="K158" s="5">
        <v>20007.581625559997</v>
      </c>
      <c r="L158" s="5">
        <v>0</v>
      </c>
      <c r="M158" s="5">
        <v>0</v>
      </c>
      <c r="N158" s="5">
        <v>-5365.2816977299999</v>
      </c>
      <c r="O158" s="5">
        <v>0</v>
      </c>
      <c r="P158" s="5">
        <v>0</v>
      </c>
      <c r="Q158" s="5" t="s">
        <v>98</v>
      </c>
      <c r="R158" s="5">
        <v>-278.84621216999949</v>
      </c>
      <c r="S158" s="5">
        <v>4999.4493617200005</v>
      </c>
      <c r="T158" s="5">
        <v>8</v>
      </c>
      <c r="U158" s="5"/>
      <c r="V158" s="5">
        <v>-636.67873998999858</v>
      </c>
      <c r="W158" s="5">
        <v>19370.902885569998</v>
      </c>
      <c r="X158" s="5">
        <v>22591.688097991908</v>
      </c>
      <c r="Y158" s="5">
        <v>860</v>
      </c>
      <c r="Z158" s="5">
        <v>0</v>
      </c>
      <c r="AA158" s="5">
        <v>12684.294271750001</v>
      </c>
      <c r="AB158" s="5">
        <v>0</v>
      </c>
      <c r="AC158" s="5">
        <v>0</v>
      </c>
      <c r="AD158" s="5" t="s">
        <v>98</v>
      </c>
      <c r="AE158" s="5">
        <v>-349.93</v>
      </c>
      <c r="AF158" s="5">
        <v>35</v>
      </c>
      <c r="AG158" s="5">
        <v>27930</v>
      </c>
      <c r="AH158" s="5"/>
      <c r="AI158" s="5">
        <v>41159.364271750004</v>
      </c>
    </row>
    <row r="159" spans="1:35" x14ac:dyDescent="0.2">
      <c r="A159" s="75">
        <v>44104</v>
      </c>
      <c r="B159" s="5">
        <v>19370.902885569998</v>
      </c>
      <c r="C159" s="5">
        <v>4947.1211741199995</v>
      </c>
      <c r="D159" s="5">
        <v>-110.13784431999929</v>
      </c>
      <c r="E159" s="5">
        <v>-9687.8119999999999</v>
      </c>
      <c r="F159" s="5">
        <v>0</v>
      </c>
      <c r="G159" s="5">
        <v>-1698.2170000000001</v>
      </c>
      <c r="H159" s="5">
        <v>1800</v>
      </c>
      <c r="I159" s="5">
        <v>0</v>
      </c>
      <c r="J159" s="5">
        <v>1.0036633199999994</v>
      </c>
      <c r="K159" s="5">
        <v>14622.860878689995</v>
      </c>
      <c r="L159" s="5">
        <v>-600.96008218999998</v>
      </c>
      <c r="M159" s="5">
        <v>0</v>
      </c>
      <c r="N159" s="5">
        <v>-3246.1038392199998</v>
      </c>
      <c r="O159" s="5">
        <v>0</v>
      </c>
      <c r="P159" s="5">
        <v>-4.1099999999794079E-5</v>
      </c>
      <c r="Q159" s="5" t="s">
        <v>98</v>
      </c>
      <c r="R159" s="5">
        <v>295.70172370000012</v>
      </c>
      <c r="S159" s="5">
        <v>7652.7808202800006</v>
      </c>
      <c r="T159" s="5">
        <v>7</v>
      </c>
      <c r="U159" s="5"/>
      <c r="V159" s="5">
        <v>4108.4185814700013</v>
      </c>
      <c r="W159" s="5">
        <v>18731.279460159996</v>
      </c>
      <c r="X159" s="5">
        <v>19480.555350482275</v>
      </c>
      <c r="Y159" s="5">
        <v>260</v>
      </c>
      <c r="Z159" s="5">
        <v>0</v>
      </c>
      <c r="AA159" s="5">
        <v>9443.054854940001</v>
      </c>
      <c r="AB159" s="5">
        <v>0</v>
      </c>
      <c r="AC159" s="5">
        <v>0</v>
      </c>
      <c r="AD159" s="5" t="s">
        <v>98</v>
      </c>
      <c r="AE159" s="5">
        <v>-111.55233029999999</v>
      </c>
      <c r="AF159" s="5">
        <v>42</v>
      </c>
      <c r="AG159" s="5">
        <v>33909</v>
      </c>
      <c r="AH159" s="5"/>
      <c r="AI159" s="5">
        <v>43542.502524640004</v>
      </c>
    </row>
    <row r="160" spans="1:35" x14ac:dyDescent="0.2">
      <c r="A160" s="75">
        <v>44134</v>
      </c>
      <c r="B160" s="5">
        <v>18731.279460159996</v>
      </c>
      <c r="C160" s="5">
        <v>1069.5653203725051</v>
      </c>
      <c r="D160" s="5">
        <v>-187.42303698249691</v>
      </c>
      <c r="E160" s="5">
        <v>-2888.6089999999999</v>
      </c>
      <c r="F160" s="5">
        <v>0</v>
      </c>
      <c r="G160" s="5">
        <v>-1199.49</v>
      </c>
      <c r="H160" s="5">
        <v>2300</v>
      </c>
      <c r="I160" s="5">
        <v>0</v>
      </c>
      <c r="J160" s="5">
        <v>-3.5953299699999999</v>
      </c>
      <c r="K160" s="5">
        <v>17821.72741358</v>
      </c>
      <c r="L160" s="5">
        <v>-100.22561642999999</v>
      </c>
      <c r="M160" s="5">
        <v>0</v>
      </c>
      <c r="N160" s="5">
        <v>-1150.9812988999988</v>
      </c>
      <c r="O160" s="5">
        <v>0</v>
      </c>
      <c r="P160" s="5">
        <v>0</v>
      </c>
      <c r="Q160" s="5" t="s">
        <v>98</v>
      </c>
      <c r="R160" s="5">
        <v>-80.252922630000057</v>
      </c>
      <c r="S160" s="5">
        <v>5128.0503559099998</v>
      </c>
      <c r="T160" s="5">
        <v>103</v>
      </c>
      <c r="U160" s="5"/>
      <c r="V160" s="5">
        <v>3899.590517950001</v>
      </c>
      <c r="W160" s="5">
        <v>21721.31793153</v>
      </c>
      <c r="X160" s="5">
        <v>23032.063484245115</v>
      </c>
      <c r="Y160" s="5">
        <v>160</v>
      </c>
      <c r="Z160" s="5">
        <v>0</v>
      </c>
      <c r="AA160" s="5">
        <v>8295.5</v>
      </c>
      <c r="AB160" s="5">
        <v>0</v>
      </c>
      <c r="AC160" s="5">
        <v>0</v>
      </c>
      <c r="AD160" s="5" t="s">
        <v>98</v>
      </c>
      <c r="AE160" s="5">
        <v>-191.77</v>
      </c>
      <c r="AF160" s="5">
        <v>145</v>
      </c>
      <c r="AG160" s="5">
        <v>38100</v>
      </c>
      <c r="AH160" s="5"/>
      <c r="AI160" s="5">
        <v>46508.729999999996</v>
      </c>
    </row>
    <row r="161" spans="1:35" x14ac:dyDescent="0.2">
      <c r="A161" s="75">
        <v>44165</v>
      </c>
      <c r="B161" s="5">
        <v>21721.317931530004</v>
      </c>
      <c r="C161" s="5">
        <v>1957.2796425700012</v>
      </c>
      <c r="D161" s="5">
        <v>-416.65679445000092</v>
      </c>
      <c r="E161" s="5">
        <v>-6110.0849999999991</v>
      </c>
      <c r="F161" s="5">
        <v>0</v>
      </c>
      <c r="G161" s="5">
        <v>-1198.7370000000001</v>
      </c>
      <c r="H161" s="5">
        <v>2450</v>
      </c>
      <c r="I161" s="5">
        <v>0</v>
      </c>
      <c r="J161" s="5">
        <v>-18.09635252</v>
      </c>
      <c r="K161" s="5">
        <v>18385.022427130003</v>
      </c>
      <c r="L161" s="5">
        <v>0</v>
      </c>
      <c r="M161" s="5">
        <v>0</v>
      </c>
      <c r="N161" s="5">
        <v>-4.3837725999999995</v>
      </c>
      <c r="O161" s="5">
        <v>0</v>
      </c>
      <c r="P161" s="5">
        <v>0</v>
      </c>
      <c r="Q161" s="5" t="s">
        <v>98</v>
      </c>
      <c r="R161" s="5">
        <v>-12.137234309999712</v>
      </c>
      <c r="S161" s="5">
        <v>4106.6091807500006</v>
      </c>
      <c r="T161" s="5">
        <v>173</v>
      </c>
      <c r="U161" s="5"/>
      <c r="V161" s="5">
        <v>4263.0879957400011</v>
      </c>
      <c r="W161" s="5">
        <v>22648.110422870006</v>
      </c>
      <c r="X161" s="5">
        <v>24077.175335282383</v>
      </c>
      <c r="Y161" s="5">
        <v>160</v>
      </c>
      <c r="Z161" s="5">
        <v>0</v>
      </c>
      <c r="AA161" s="5">
        <v>8295.5</v>
      </c>
      <c r="AB161" s="5">
        <v>0</v>
      </c>
      <c r="AC161" s="5">
        <v>0</v>
      </c>
      <c r="AD161" s="5" t="s">
        <v>98</v>
      </c>
      <c r="AE161" s="5">
        <v>-324.8167593</v>
      </c>
      <c r="AF161" s="5">
        <v>318</v>
      </c>
      <c r="AG161" s="5">
        <v>41875</v>
      </c>
      <c r="AH161" s="5"/>
      <c r="AI161" s="5">
        <v>50323.683240700004</v>
      </c>
    </row>
    <row r="162" spans="1:35" x14ac:dyDescent="0.2">
      <c r="A162" s="75">
        <v>44196</v>
      </c>
      <c r="B162" s="5">
        <v>22648.110422870002</v>
      </c>
      <c r="C162" s="5">
        <v>5443.1931339000002</v>
      </c>
      <c r="D162" s="5">
        <v>-575.84</v>
      </c>
      <c r="E162" s="5">
        <v>-2798.6089999999999</v>
      </c>
      <c r="F162" s="5">
        <v>0</v>
      </c>
      <c r="G162" s="5">
        <v>-899.197</v>
      </c>
      <c r="H162" s="5">
        <v>1625</v>
      </c>
      <c r="I162" s="5">
        <v>0</v>
      </c>
      <c r="J162" s="5">
        <v>-11.081314410000001</v>
      </c>
      <c r="K162" s="5">
        <v>25432</v>
      </c>
      <c r="L162" s="5">
        <v>50</v>
      </c>
      <c r="M162" s="5">
        <v>0</v>
      </c>
      <c r="N162" s="5">
        <v>-5.0499931400000264</v>
      </c>
      <c r="O162" s="5">
        <v>-199.96165119</v>
      </c>
      <c r="P162" s="5">
        <v>0</v>
      </c>
      <c r="Q162" s="5" t="s">
        <v>98</v>
      </c>
      <c r="R162" s="5">
        <v>83.707365870000103</v>
      </c>
      <c r="S162" s="5">
        <v>2978.4542158000004</v>
      </c>
      <c r="T162" s="5">
        <v>194</v>
      </c>
      <c r="U162" s="5">
        <v>1040</v>
      </c>
      <c r="V162" s="5">
        <v>4141</v>
      </c>
      <c r="W162" s="5">
        <v>29572.730456340003</v>
      </c>
      <c r="X162" s="5">
        <v>26579.898603342612</v>
      </c>
      <c r="Y162" s="5">
        <v>210</v>
      </c>
      <c r="Z162" s="5">
        <v>0</v>
      </c>
      <c r="AA162" s="5">
        <v>8295.5</v>
      </c>
      <c r="AB162" s="5">
        <v>-200</v>
      </c>
      <c r="AC162" s="5">
        <v>0</v>
      </c>
      <c r="AD162" s="5" t="s">
        <v>98</v>
      </c>
      <c r="AE162" s="5">
        <v>-241.10916682000001</v>
      </c>
      <c r="AF162" s="5">
        <v>512</v>
      </c>
      <c r="AG162" s="5">
        <v>44005</v>
      </c>
      <c r="AH162" s="5">
        <v>1040</v>
      </c>
      <c r="AI162" s="5">
        <v>53621.390833180005</v>
      </c>
    </row>
    <row r="163" spans="1:35" x14ac:dyDescent="0.2">
      <c r="A163" s="75">
        <v>44225</v>
      </c>
      <c r="B163" s="5">
        <v>29572.730456340003</v>
      </c>
      <c r="C163" s="5">
        <v>-7533.6307978899968</v>
      </c>
      <c r="D163" s="5">
        <v>725.38086650999253</v>
      </c>
      <c r="E163" s="5">
        <v>-1090.4000000000001</v>
      </c>
      <c r="F163" s="5">
        <v>0</v>
      </c>
      <c r="G163" s="5">
        <v>-898.71</v>
      </c>
      <c r="H163" s="5">
        <v>1350</v>
      </c>
      <c r="I163" s="5">
        <v>0</v>
      </c>
      <c r="J163" s="5">
        <v>-4.4888485200000003</v>
      </c>
      <c r="K163" s="5">
        <v>22120.88167644</v>
      </c>
      <c r="L163" s="5">
        <v>0</v>
      </c>
      <c r="M163" s="5">
        <v>0</v>
      </c>
      <c r="N163" s="5">
        <v>-3.2530205799999998</v>
      </c>
      <c r="O163" s="5">
        <v>9.5885800000132804E-3</v>
      </c>
      <c r="P163" s="5">
        <v>-1.6439999999917632E-4</v>
      </c>
      <c r="Q163" s="5" t="s">
        <v>98</v>
      </c>
      <c r="R163" s="5">
        <v>-117.06593537999925</v>
      </c>
      <c r="S163" s="5">
        <v>1250.44082604</v>
      </c>
      <c r="T163" s="5">
        <v>383</v>
      </c>
      <c r="U163" s="5">
        <v>100.11616438</v>
      </c>
      <c r="V163" s="5">
        <v>1613.247458640001</v>
      </c>
      <c r="W163" s="5">
        <v>23734.129135080002</v>
      </c>
      <c r="X163" s="5">
        <v>27722.140057855711</v>
      </c>
      <c r="Y163" s="5">
        <v>210</v>
      </c>
      <c r="Z163" s="5">
        <v>0</v>
      </c>
      <c r="AA163" s="5">
        <v>8295.5</v>
      </c>
      <c r="AB163" s="5">
        <v>-200</v>
      </c>
      <c r="AC163" s="5">
        <v>0</v>
      </c>
      <c r="AD163" s="5" t="s">
        <v>98</v>
      </c>
      <c r="AE163" s="5">
        <v>-358.17510220000003</v>
      </c>
      <c r="AF163" s="5">
        <v>895</v>
      </c>
      <c r="AG163" s="5">
        <v>45345</v>
      </c>
      <c r="AH163" s="5">
        <v>1140</v>
      </c>
      <c r="AI163" s="5">
        <v>55327.324897800005</v>
      </c>
    </row>
    <row r="164" spans="1:35" x14ac:dyDescent="0.2">
      <c r="A164" s="75">
        <v>44253</v>
      </c>
      <c r="B164" s="5">
        <v>23734.129135080002</v>
      </c>
      <c r="C164" s="5">
        <v>3383.0288473600017</v>
      </c>
      <c r="D164" s="5">
        <v>-16.609928610005255</v>
      </c>
      <c r="E164" s="5">
        <v>-5009.8029999999999</v>
      </c>
      <c r="F164" s="5">
        <v>0</v>
      </c>
      <c r="G164" s="5">
        <v>-1198.636</v>
      </c>
      <c r="H164" s="5">
        <v>950</v>
      </c>
      <c r="I164" s="5">
        <v>0</v>
      </c>
      <c r="J164" s="5">
        <v>-23.44278534</v>
      </c>
      <c r="K164" s="5">
        <v>21818.666268489997</v>
      </c>
      <c r="L164" s="5">
        <v>0</v>
      </c>
      <c r="M164" s="5">
        <v>0</v>
      </c>
      <c r="N164" s="5">
        <v>-54.185915430000009</v>
      </c>
      <c r="O164" s="5">
        <v>3.6815139999987423E-2</v>
      </c>
      <c r="P164" s="5">
        <v>0</v>
      </c>
      <c r="Q164" s="5" t="s">
        <v>98</v>
      </c>
      <c r="R164" s="5">
        <v>151.07189965999987</v>
      </c>
      <c r="S164" s="5">
        <v>2558.1973684300001</v>
      </c>
      <c r="T164" s="5">
        <v>195</v>
      </c>
      <c r="U164" s="5">
        <v>0.18013699</v>
      </c>
      <c r="V164" s="5">
        <v>2850.3003047899997</v>
      </c>
      <c r="W164" s="5">
        <v>24668.966573279995</v>
      </c>
      <c r="X164" s="5">
        <v>25431.182574033501</v>
      </c>
      <c r="Y164" s="5">
        <v>50</v>
      </c>
      <c r="Z164" s="5">
        <v>0</v>
      </c>
      <c r="AA164" s="5">
        <v>8245.5</v>
      </c>
      <c r="AB164" s="5">
        <v>-200</v>
      </c>
      <c r="AC164" s="5">
        <v>0</v>
      </c>
      <c r="AD164" s="5" t="s">
        <v>98</v>
      </c>
      <c r="AE164" s="5">
        <v>-207.10320253999998</v>
      </c>
      <c r="AF164" s="5">
        <v>1126</v>
      </c>
      <c r="AG164" s="5">
        <v>47698</v>
      </c>
      <c r="AH164" s="5">
        <v>1140</v>
      </c>
      <c r="AI164" s="5">
        <v>57852.396797460002</v>
      </c>
    </row>
    <row r="165" spans="1:35" x14ac:dyDescent="0.2">
      <c r="A165" s="75">
        <v>44286</v>
      </c>
      <c r="B165" s="5">
        <v>24668.966573279995</v>
      </c>
      <c r="C165" s="5">
        <v>-455.01833741999303</v>
      </c>
      <c r="D165" s="5">
        <v>172.86538259999995</v>
      </c>
      <c r="E165" s="5">
        <v>-2548.5950000000003</v>
      </c>
      <c r="F165" s="5">
        <v>0</v>
      </c>
      <c r="G165" s="5">
        <v>-1497.5720000000001</v>
      </c>
      <c r="H165" s="5">
        <v>900</v>
      </c>
      <c r="I165" s="5">
        <v>0</v>
      </c>
      <c r="J165" s="5">
        <v>-2.7800000000000002</v>
      </c>
      <c r="K165" s="5">
        <v>21237.866618460004</v>
      </c>
      <c r="L165" s="5">
        <v>-50.030821920000001</v>
      </c>
      <c r="M165" s="5">
        <v>0</v>
      </c>
      <c r="N165" s="5">
        <v>444.00550594999993</v>
      </c>
      <c r="O165" s="5">
        <v>-54.94631167</v>
      </c>
      <c r="P165" s="5">
        <v>-1.3700000000005375E-5</v>
      </c>
      <c r="Q165" s="5" t="s">
        <v>98</v>
      </c>
      <c r="R165" s="5">
        <v>-203.4829848899999</v>
      </c>
      <c r="S165" s="5">
        <v>2792.9488599300003</v>
      </c>
      <c r="T165" s="5">
        <v>146</v>
      </c>
      <c r="U165" s="5">
        <v>1600.21863014</v>
      </c>
      <c r="V165" s="5">
        <v>4674.71286384</v>
      </c>
      <c r="W165" s="5">
        <v>25912.579482300003</v>
      </c>
      <c r="X165" s="5">
        <v>26924.749618873477</v>
      </c>
      <c r="Y165" s="5">
        <v>160</v>
      </c>
      <c r="Z165" s="5">
        <v>0</v>
      </c>
      <c r="AA165" s="5">
        <v>8695.5324465699996</v>
      </c>
      <c r="AB165" s="5">
        <v>-280</v>
      </c>
      <c r="AC165" s="5">
        <v>0</v>
      </c>
      <c r="AD165" s="5" t="s">
        <v>98</v>
      </c>
      <c r="AE165" s="5">
        <v>-420.27793903000003</v>
      </c>
      <c r="AF165" s="5">
        <v>1236</v>
      </c>
      <c r="AG165" s="5">
        <v>50320</v>
      </c>
      <c r="AH165" s="5">
        <v>2740</v>
      </c>
      <c r="AI165" s="5">
        <v>62451.254507539998</v>
      </c>
    </row>
    <row r="166" spans="1:35" x14ac:dyDescent="0.2">
      <c r="A166" s="75">
        <v>44316</v>
      </c>
      <c r="B166" s="5">
        <v>25912.529104419998</v>
      </c>
      <c r="C166" s="5">
        <v>2305.3808319202585</v>
      </c>
      <c r="D166" s="5">
        <v>160.58670189974146</v>
      </c>
      <c r="E166" s="5">
        <v>-1381.5</v>
      </c>
      <c r="F166" s="5">
        <v>0</v>
      </c>
      <c r="G166" s="5">
        <v>-1098.74</v>
      </c>
      <c r="H166" s="5">
        <v>1500</v>
      </c>
      <c r="I166" s="5">
        <v>0</v>
      </c>
      <c r="J166" s="5">
        <v>0.76288231000000006</v>
      </c>
      <c r="K166" s="5">
        <v>27399.019520549995</v>
      </c>
      <c r="L166" s="5">
        <v>0</v>
      </c>
      <c r="M166" s="5">
        <v>0</v>
      </c>
      <c r="N166" s="5">
        <v>594.40536306000001</v>
      </c>
      <c r="O166" s="5">
        <v>-19.932888219999938</v>
      </c>
      <c r="P166" s="5">
        <v>-8.2199999999588158E-5</v>
      </c>
      <c r="Q166" s="5" t="s">
        <v>98</v>
      </c>
      <c r="R166" s="5">
        <v>352.59463100999983</v>
      </c>
      <c r="S166" s="5">
        <v>1828.49455229</v>
      </c>
      <c r="T166" s="5">
        <v>225</v>
      </c>
      <c r="U166" s="5">
        <v>112</v>
      </c>
      <c r="V166" s="5">
        <v>3092.5615759399998</v>
      </c>
      <c r="W166" s="5">
        <v>30491.581096489994</v>
      </c>
      <c r="X166" s="5">
        <v>29564.930714661561</v>
      </c>
      <c r="Y166" s="5">
        <v>160</v>
      </c>
      <c r="Z166" s="5">
        <v>0</v>
      </c>
      <c r="AA166" s="5">
        <v>9293.9165281700025</v>
      </c>
      <c r="AB166" s="5">
        <v>-275</v>
      </c>
      <c r="AC166" s="5">
        <v>0</v>
      </c>
      <c r="AD166" s="5" t="s">
        <v>98</v>
      </c>
      <c r="AE166" s="5">
        <v>-67.683308019999998</v>
      </c>
      <c r="AF166" s="5">
        <v>1461</v>
      </c>
      <c r="AG166" s="5">
        <v>52050</v>
      </c>
      <c r="AH166" s="5">
        <v>2852</v>
      </c>
      <c r="AI166" s="5">
        <v>65474.233220150003</v>
      </c>
    </row>
    <row r="167" spans="1:35" x14ac:dyDescent="0.2">
      <c r="A167" s="75">
        <v>44347</v>
      </c>
      <c r="B167" s="5">
        <v>30491.581096489994</v>
      </c>
      <c r="C167" s="5">
        <v>-6431.522447719999</v>
      </c>
      <c r="D167" s="5">
        <v>-326.04881598999981</v>
      </c>
      <c r="E167" s="5">
        <v>-1369.1960000000001</v>
      </c>
      <c r="F167" s="5">
        <v>6368</v>
      </c>
      <c r="G167" s="5">
        <v>-1049.6599999999999</v>
      </c>
      <c r="H167" s="5">
        <v>1200</v>
      </c>
      <c r="I167" s="5">
        <v>0</v>
      </c>
      <c r="J167" s="5">
        <v>0.41437035999999999</v>
      </c>
      <c r="K167" s="5">
        <v>28883.568203139992</v>
      </c>
      <c r="L167" s="5">
        <v>-160.19199999999998</v>
      </c>
      <c r="M167" s="5">
        <v>0</v>
      </c>
      <c r="N167" s="5">
        <v>-143.21730825000009</v>
      </c>
      <c r="O167" s="5">
        <v>-149.91850878999998</v>
      </c>
      <c r="P167" s="5">
        <v>-1.3700000000005375E-5</v>
      </c>
      <c r="Q167" s="5" t="s">
        <v>98</v>
      </c>
      <c r="R167" s="5">
        <v>-501.62510351000037</v>
      </c>
      <c r="S167" s="5">
        <v>1388.8266048799999</v>
      </c>
      <c r="T167" s="5">
        <v>280</v>
      </c>
      <c r="U167" s="5">
        <v>204.60293150000001</v>
      </c>
      <c r="V167" s="5">
        <v>918.47660212999949</v>
      </c>
      <c r="W167" s="5">
        <v>29802.04480526999</v>
      </c>
      <c r="X167" s="5">
        <v>30515.083428336184</v>
      </c>
      <c r="Y167" s="5">
        <v>0</v>
      </c>
      <c r="Z167" s="5">
        <v>0</v>
      </c>
      <c r="AA167" s="5">
        <v>9154.1644200800019</v>
      </c>
      <c r="AB167" s="5">
        <v>-450</v>
      </c>
      <c r="AC167" s="5">
        <v>0</v>
      </c>
      <c r="AD167" s="5" t="s">
        <v>98</v>
      </c>
      <c r="AE167" s="5">
        <v>-618.94657853999979</v>
      </c>
      <c r="AF167" s="5">
        <v>1741</v>
      </c>
      <c r="AG167" s="5">
        <v>52034</v>
      </c>
      <c r="AH167" s="5">
        <v>3056</v>
      </c>
      <c r="AI167" s="5">
        <v>64916.217841539998</v>
      </c>
    </row>
    <row r="168" spans="1:35" x14ac:dyDescent="0.2">
      <c r="A168" s="75">
        <v>44377</v>
      </c>
      <c r="B168" s="5">
        <v>29802.178363730003</v>
      </c>
      <c r="C168" s="5">
        <v>873.4310928099967</v>
      </c>
      <c r="D168" s="5">
        <v>419.69190066000488</v>
      </c>
      <c r="E168" s="5">
        <v>-3607.3470000000002</v>
      </c>
      <c r="F168" s="5">
        <v>0</v>
      </c>
      <c r="G168" s="5">
        <v>-1250</v>
      </c>
      <c r="H168" s="5">
        <v>1250</v>
      </c>
      <c r="I168" s="5">
        <v>0</v>
      </c>
      <c r="J168" s="5">
        <v>6.9298500399999989</v>
      </c>
      <c r="K168" s="5">
        <v>27494.88420724</v>
      </c>
      <c r="L168" s="5">
        <v>0</v>
      </c>
      <c r="M168" s="5">
        <v>0</v>
      </c>
      <c r="N168" s="5">
        <v>822.79235666000045</v>
      </c>
      <c r="O168" s="5">
        <v>175.05272960000002</v>
      </c>
      <c r="P168" s="5">
        <v>-1.5070000000072525E-4</v>
      </c>
      <c r="Q168" s="5" t="s">
        <v>98</v>
      </c>
      <c r="R168" s="5">
        <v>132.24587951000012</v>
      </c>
      <c r="S168" s="5">
        <v>1271.02497769</v>
      </c>
      <c r="T168" s="5">
        <v>150</v>
      </c>
      <c r="U168" s="5">
        <v>0</v>
      </c>
      <c r="V168" s="5">
        <v>2551.1157927600007</v>
      </c>
      <c r="W168" s="5">
        <v>30046</v>
      </c>
      <c r="X168" s="5">
        <v>33001.285849099993</v>
      </c>
      <c r="Y168" s="5">
        <v>0</v>
      </c>
      <c r="Z168" s="5">
        <v>0</v>
      </c>
      <c r="AA168" s="5">
        <v>9980.9017791600018</v>
      </c>
      <c r="AB168" s="5">
        <v>-275</v>
      </c>
      <c r="AC168" s="5">
        <v>0</v>
      </c>
      <c r="AD168" s="5" t="s">
        <v>98</v>
      </c>
      <c r="AE168" s="5">
        <v>-487.05089138</v>
      </c>
      <c r="AF168" s="5">
        <v>1891</v>
      </c>
      <c r="AG168" s="5">
        <v>53094</v>
      </c>
      <c r="AH168" s="5">
        <v>3056</v>
      </c>
      <c r="AI168" s="5">
        <v>67259.850887780005</v>
      </c>
    </row>
    <row r="169" spans="1:35" x14ac:dyDescent="0.2">
      <c r="A169" s="75">
        <v>44407</v>
      </c>
      <c r="B169" s="5">
        <v>30046.092735630005</v>
      </c>
      <c r="C169" s="5">
        <v>3720.6955185600059</v>
      </c>
      <c r="D169" s="5">
        <v>91.589095449995483</v>
      </c>
      <c r="E169" s="5">
        <v>-2196.5410000000002</v>
      </c>
      <c r="F169" s="5">
        <v>0</v>
      </c>
      <c r="G169" s="5">
        <v>-999.3</v>
      </c>
      <c r="H169" s="5">
        <v>900</v>
      </c>
      <c r="I169" s="5">
        <v>0</v>
      </c>
      <c r="J169" s="5">
        <v>0.33575818999999996</v>
      </c>
      <c r="K169" s="5">
        <v>31562.872107830004</v>
      </c>
      <c r="L169" s="5">
        <v>0</v>
      </c>
      <c r="M169" s="5">
        <v>0</v>
      </c>
      <c r="N169" s="5">
        <v>-1003.9128350000028</v>
      </c>
      <c r="O169" s="5">
        <v>-124.92253557999999</v>
      </c>
      <c r="P169" s="5">
        <v>-1.3700000000005375E-5</v>
      </c>
      <c r="Q169" s="5" t="s">
        <v>98</v>
      </c>
      <c r="R169" s="5">
        <v>12.080175889999737</v>
      </c>
      <c r="S169" s="5">
        <v>757.85281931999987</v>
      </c>
      <c r="T169" s="5">
        <v>596</v>
      </c>
      <c r="U169" s="5">
        <v>611.62794518999999</v>
      </c>
      <c r="V169" s="5">
        <v>848.7255561199969</v>
      </c>
      <c r="W169" s="5">
        <v>32411.59766395</v>
      </c>
      <c r="X169" s="5">
        <v>35456.830652398639</v>
      </c>
      <c r="Y169" s="5">
        <v>0</v>
      </c>
      <c r="Z169" s="5">
        <v>0</v>
      </c>
      <c r="AA169" s="5">
        <v>8980.5047016599947</v>
      </c>
      <c r="AB169" s="5">
        <v>-375</v>
      </c>
      <c r="AC169" s="5">
        <v>0</v>
      </c>
      <c r="AD169" s="5" t="s">
        <v>98</v>
      </c>
      <c r="AE169" s="5">
        <v>-474.97071548999998</v>
      </c>
      <c r="AF169" s="5">
        <v>2487</v>
      </c>
      <c r="AG169" s="5">
        <v>53744</v>
      </c>
      <c r="AH169" s="5">
        <v>3667</v>
      </c>
      <c r="AI169" s="5">
        <v>68028.53398616999</v>
      </c>
    </row>
    <row r="170" spans="1:35" x14ac:dyDescent="0.2">
      <c r="A170" s="75">
        <v>44439</v>
      </c>
      <c r="B170" s="5">
        <v>32411.597663950004</v>
      </c>
      <c r="C170" s="5">
        <v>-91.968749340000386</v>
      </c>
      <c r="D170" s="5">
        <v>158.31983315999557</v>
      </c>
      <c r="E170" s="5">
        <v>-2673.1089999999995</v>
      </c>
      <c r="F170" s="5">
        <v>0</v>
      </c>
      <c r="G170" s="5">
        <v>-996.56500000000005</v>
      </c>
      <c r="H170" s="5">
        <v>1100</v>
      </c>
      <c r="I170" s="5">
        <v>0</v>
      </c>
      <c r="J170" s="5">
        <v>0</v>
      </c>
      <c r="K170" s="5">
        <v>29908.27474777</v>
      </c>
      <c r="L170" s="5">
        <v>0</v>
      </c>
      <c r="M170" s="5">
        <v>0</v>
      </c>
      <c r="N170" s="5">
        <v>1755.6782208000004</v>
      </c>
      <c r="O170" s="5">
        <v>-199.83914288999995</v>
      </c>
      <c r="P170" s="5">
        <v>-1.3698999999967043E-4</v>
      </c>
      <c r="Q170" s="5" t="s">
        <v>98</v>
      </c>
      <c r="R170" s="5">
        <v>299.28315162999934</v>
      </c>
      <c r="S170" s="5">
        <v>0</v>
      </c>
      <c r="T170" s="5">
        <v>-4.0199999999999996</v>
      </c>
      <c r="U170" s="5">
        <v>2040.7713972500001</v>
      </c>
      <c r="V170" s="5">
        <v>3891.8734897999998</v>
      </c>
      <c r="W170" s="5">
        <v>33800.14823757</v>
      </c>
      <c r="X170" s="5">
        <v>35986.921454282732</v>
      </c>
      <c r="Y170" s="5">
        <v>0</v>
      </c>
      <c r="Z170" s="5">
        <v>0</v>
      </c>
      <c r="AA170" s="5">
        <v>10739.934522429998</v>
      </c>
      <c r="AB170" s="5">
        <v>-575</v>
      </c>
      <c r="AC170" s="5">
        <v>0</v>
      </c>
      <c r="AD170" s="5" t="s">
        <v>98</v>
      </c>
      <c r="AE170" s="5">
        <v>-175.68756385999998</v>
      </c>
      <c r="AF170" s="5">
        <v>2483</v>
      </c>
      <c r="AG170" s="5">
        <v>53744</v>
      </c>
      <c r="AH170" s="5">
        <v>5707</v>
      </c>
      <c r="AI170" s="5">
        <v>71923.246958570002</v>
      </c>
    </row>
    <row r="171" spans="1:35" x14ac:dyDescent="0.2">
      <c r="A171" s="75">
        <v>44469</v>
      </c>
      <c r="B171" s="5">
        <v>33800.14823757</v>
      </c>
      <c r="C171" s="5">
        <v>4101.2315674899928</v>
      </c>
      <c r="D171" s="5">
        <v>-283.14619484999633</v>
      </c>
      <c r="E171" s="5">
        <v>-4453.54</v>
      </c>
      <c r="F171" s="5">
        <v>0</v>
      </c>
      <c r="G171" s="5">
        <v>-1245.73</v>
      </c>
      <c r="H171" s="5">
        <v>1100</v>
      </c>
      <c r="I171" s="5">
        <v>0</v>
      </c>
      <c r="J171" s="5">
        <v>0</v>
      </c>
      <c r="K171" s="5">
        <v>33018.963610210005</v>
      </c>
      <c r="L171" s="5">
        <v>0</v>
      </c>
      <c r="M171" s="5">
        <v>0</v>
      </c>
      <c r="N171" s="5">
        <v>-105.70205039000211</v>
      </c>
      <c r="O171" s="5">
        <v>325.05886405000001</v>
      </c>
      <c r="P171" s="5">
        <v>0</v>
      </c>
      <c r="Q171" s="5" t="s">
        <v>98</v>
      </c>
      <c r="R171" s="5">
        <v>-72.347268649999933</v>
      </c>
      <c r="S171" s="5">
        <v>0</v>
      </c>
      <c r="T171" s="5">
        <v>-18.225054790000002</v>
      </c>
      <c r="U171" s="5">
        <v>300.91267124000001</v>
      </c>
      <c r="V171" s="5">
        <v>429.69716145999797</v>
      </c>
      <c r="W171" s="5">
        <v>33448.660771670002</v>
      </c>
      <c r="X171" s="5">
        <v>35068.530419089548</v>
      </c>
      <c r="Y171" s="5">
        <v>0</v>
      </c>
      <c r="Z171" s="5">
        <v>0</v>
      </c>
      <c r="AA171" s="5">
        <v>10640.934522429998</v>
      </c>
      <c r="AB171" s="5">
        <v>-250</v>
      </c>
      <c r="AC171" s="5">
        <v>0</v>
      </c>
      <c r="AD171" s="5" t="s">
        <v>98</v>
      </c>
      <c r="AE171" s="5">
        <v>-248.26065391999998</v>
      </c>
      <c r="AF171" s="5">
        <v>2465</v>
      </c>
      <c r="AG171" s="5">
        <v>53744</v>
      </c>
      <c r="AH171" s="5">
        <v>6007</v>
      </c>
      <c r="AI171" s="5">
        <v>72358.673868509999</v>
      </c>
    </row>
    <row r="172" spans="1:35" x14ac:dyDescent="0.2">
      <c r="A172" s="75">
        <v>44498</v>
      </c>
      <c r="B172" s="5">
        <v>33448.660771669995</v>
      </c>
      <c r="C172" s="5">
        <v>4709.0560676199957</v>
      </c>
      <c r="D172" s="5">
        <v>-356.52958971998845</v>
      </c>
      <c r="E172" s="5">
        <v>-1924.46</v>
      </c>
      <c r="F172" s="5">
        <v>0</v>
      </c>
      <c r="G172" s="5">
        <v>-996</v>
      </c>
      <c r="H172" s="5">
        <v>1200</v>
      </c>
      <c r="I172" s="5">
        <v>0</v>
      </c>
      <c r="J172" s="5">
        <v>0</v>
      </c>
      <c r="K172" s="5">
        <v>36080.727249570002</v>
      </c>
      <c r="L172" s="5">
        <v>0</v>
      </c>
      <c r="M172" s="5">
        <v>0</v>
      </c>
      <c r="N172" s="5">
        <v>701.56725233999975</v>
      </c>
      <c r="O172" s="5">
        <v>-149.85736623000003</v>
      </c>
      <c r="P172" s="5">
        <v>-4.1099999999794079E-5</v>
      </c>
      <c r="Q172" s="5" t="s">
        <v>98</v>
      </c>
      <c r="R172" s="5">
        <v>26.363738430000922</v>
      </c>
      <c r="S172" s="5">
        <v>0</v>
      </c>
      <c r="T172" s="5">
        <v>-15.0469863</v>
      </c>
      <c r="U172" s="5">
        <v>1.2082876499999999</v>
      </c>
      <c r="V172" s="5">
        <v>564.23488479000071</v>
      </c>
      <c r="W172" s="5">
        <v>36644.962134360001</v>
      </c>
      <c r="X172" s="5">
        <v>37716.311414439515</v>
      </c>
      <c r="Y172" s="5">
        <v>0</v>
      </c>
      <c r="Z172" s="5">
        <v>0</v>
      </c>
      <c r="AA172" s="5">
        <v>11349.256472779998</v>
      </c>
      <c r="AB172" s="5">
        <v>-400</v>
      </c>
      <c r="AC172" s="5">
        <v>0</v>
      </c>
      <c r="AD172" s="5" t="s">
        <v>98</v>
      </c>
      <c r="AE172" s="5">
        <v>-221.91980000999999</v>
      </c>
      <c r="AF172" s="5">
        <v>2450</v>
      </c>
      <c r="AG172" s="5">
        <v>53744</v>
      </c>
      <c r="AH172" s="5">
        <v>6007</v>
      </c>
      <c r="AI172" s="5">
        <v>72928.336672770005</v>
      </c>
    </row>
    <row r="173" spans="1:35" x14ac:dyDescent="0.2">
      <c r="A173" s="75">
        <v>44530</v>
      </c>
      <c r="B173" s="5">
        <v>36644.962134360001</v>
      </c>
      <c r="C173" s="5">
        <v>3595.3365896199966</v>
      </c>
      <c r="D173" s="5">
        <v>418.25611964000007</v>
      </c>
      <c r="E173" s="5">
        <v>-2327.7999999999997</v>
      </c>
      <c r="F173" s="5">
        <v>0</v>
      </c>
      <c r="G173" s="5">
        <v>-994.83</v>
      </c>
      <c r="H173" s="5">
        <v>1200</v>
      </c>
      <c r="I173" s="5">
        <v>0</v>
      </c>
      <c r="J173" s="5">
        <v>2.4096255899999997</v>
      </c>
      <c r="K173" s="5">
        <v>38538.334469209993</v>
      </c>
      <c r="L173" s="5">
        <v>0</v>
      </c>
      <c r="M173" s="5">
        <v>0</v>
      </c>
      <c r="N173" s="5">
        <v>-1040.3818658</v>
      </c>
      <c r="O173" s="5">
        <v>200.11500233000001</v>
      </c>
      <c r="P173" s="5">
        <v>-8.7511999999989598E-4</v>
      </c>
      <c r="Q173" s="5" t="s">
        <v>98</v>
      </c>
      <c r="R173" s="5">
        <v>-729.04181746000086</v>
      </c>
      <c r="S173" s="5">
        <v>0</v>
      </c>
      <c r="T173" s="5">
        <v>-38.452993149999998</v>
      </c>
      <c r="U173" s="5">
        <v>2.30405484</v>
      </c>
      <c r="V173" s="5">
        <v>-1605.4584943600012</v>
      </c>
      <c r="W173" s="5">
        <v>36932.875974849994</v>
      </c>
      <c r="X173" s="5">
        <v>39793.602721554547</v>
      </c>
      <c r="Y173" s="5">
        <v>0</v>
      </c>
      <c r="Z173" s="5">
        <v>0</v>
      </c>
      <c r="AA173" s="5">
        <v>10314.833695099996</v>
      </c>
      <c r="AB173" s="5">
        <v>-200</v>
      </c>
      <c r="AC173" s="5">
        <v>0</v>
      </c>
      <c r="AD173" s="5" t="s">
        <v>98</v>
      </c>
      <c r="AE173" s="5">
        <v>-951.01681869999993</v>
      </c>
      <c r="AF173" s="5">
        <v>2412</v>
      </c>
      <c r="AG173" s="5">
        <v>53744</v>
      </c>
      <c r="AH173" s="5">
        <v>6007</v>
      </c>
      <c r="AI173" s="5">
        <v>71326.8168764</v>
      </c>
    </row>
    <row r="174" spans="1:35" x14ac:dyDescent="0.2">
      <c r="A174" s="75">
        <v>44561</v>
      </c>
      <c r="B174" s="5">
        <v>36932.721682410003</v>
      </c>
      <c r="C174" s="5">
        <v>7401.9409558903562</v>
      </c>
      <c r="D174" s="5">
        <v>-577.44029353036456</v>
      </c>
      <c r="E174" s="5">
        <v>-1424.68391888</v>
      </c>
      <c r="F174" s="5">
        <v>0</v>
      </c>
      <c r="G174" s="5">
        <v>-747.19799333000003</v>
      </c>
      <c r="H174" s="5">
        <v>1100</v>
      </c>
      <c r="I174" s="5">
        <v>0</v>
      </c>
      <c r="J174" s="5">
        <v>-1.0833773999999998</v>
      </c>
      <c r="K174" s="5">
        <v>42684.257055159993</v>
      </c>
      <c r="L174" s="5">
        <v>0</v>
      </c>
      <c r="M174" s="5">
        <v>0</v>
      </c>
      <c r="N174" s="5">
        <v>607.49793127999874</v>
      </c>
      <c r="O174" s="5">
        <v>-199.76999533999998</v>
      </c>
      <c r="P174" s="5">
        <v>0</v>
      </c>
      <c r="Q174" s="5" t="s">
        <v>98</v>
      </c>
      <c r="R174" s="5">
        <v>664.68629705999956</v>
      </c>
      <c r="S174" s="5">
        <v>0</v>
      </c>
      <c r="T174" s="5">
        <v>-25.486534250000005</v>
      </c>
      <c r="U174" s="5">
        <v>726.71549311000001</v>
      </c>
      <c r="V174" s="5">
        <v>1773.6431918599983</v>
      </c>
      <c r="W174" s="5">
        <v>44457.900247019992</v>
      </c>
      <c r="X174" s="5">
        <v>41902.965009243941</v>
      </c>
      <c r="Y174" s="5">
        <v>0</v>
      </c>
      <c r="Z174" s="5">
        <v>0</v>
      </c>
      <c r="AA174" s="5">
        <v>10931.00250027</v>
      </c>
      <c r="AB174" s="5">
        <v>-400</v>
      </c>
      <c r="AC174" s="5">
        <v>0</v>
      </c>
      <c r="AD174" s="5" t="s">
        <v>98</v>
      </c>
      <c r="AE174" s="5">
        <v>-286.41486293999992</v>
      </c>
      <c r="AF174" s="5">
        <v>2387</v>
      </c>
      <c r="AG174" s="5">
        <v>53744</v>
      </c>
      <c r="AH174" s="5">
        <v>6731</v>
      </c>
      <c r="AI174" s="5">
        <v>73106.587637329998</v>
      </c>
    </row>
    <row r="175" spans="1:35" x14ac:dyDescent="0.2">
      <c r="A175" s="75">
        <v>44592</v>
      </c>
      <c r="B175" s="5">
        <v>44457.900247019992</v>
      </c>
      <c r="C175" s="5">
        <v>-7085.2718690255042</v>
      </c>
      <c r="D175" s="5">
        <v>673</v>
      </c>
      <c r="E175" s="5">
        <v>-207</v>
      </c>
      <c r="F175" s="5">
        <v>0</v>
      </c>
      <c r="G175" s="5">
        <v>-248</v>
      </c>
      <c r="H175" s="5">
        <v>1600</v>
      </c>
      <c r="I175" s="5">
        <v>0</v>
      </c>
      <c r="J175" s="5">
        <v>0</v>
      </c>
      <c r="K175" s="5">
        <v>39190.628377994486</v>
      </c>
      <c r="L175" s="5">
        <v>0</v>
      </c>
      <c r="M175" s="5">
        <v>0</v>
      </c>
      <c r="N175" s="5">
        <v>-145.20724634000362</v>
      </c>
      <c r="O175" s="5">
        <v>400</v>
      </c>
      <c r="P175" s="5">
        <v>0</v>
      </c>
      <c r="Q175" s="5" t="s">
        <v>98</v>
      </c>
      <c r="R175" s="5">
        <v>-283.19032698999945</v>
      </c>
      <c r="S175" s="5">
        <v>0</v>
      </c>
      <c r="T175" s="5">
        <v>-30.954876710000008</v>
      </c>
      <c r="U175" s="5">
        <v>1004.66497946</v>
      </c>
      <c r="V175" s="5">
        <v>945.31252941999696</v>
      </c>
      <c r="W175" s="5">
        <v>40135.940907414486</v>
      </c>
      <c r="X175" s="5">
        <v>43427.413112332812</v>
      </c>
      <c r="Y175" s="5">
        <v>0</v>
      </c>
      <c r="Z175" s="5">
        <v>0</v>
      </c>
      <c r="AA175" s="5">
        <v>10791.108115180003</v>
      </c>
      <c r="AB175" s="5">
        <v>0</v>
      </c>
      <c r="AC175" s="5">
        <v>0</v>
      </c>
      <c r="AD175" s="5" t="s">
        <v>98</v>
      </c>
      <c r="AE175" s="5">
        <v>-569.65913633000014</v>
      </c>
      <c r="AF175" s="5">
        <v>2357</v>
      </c>
      <c r="AG175" s="5">
        <v>53744</v>
      </c>
      <c r="AH175" s="5">
        <v>7731</v>
      </c>
      <c r="AI175" s="5">
        <v>74053.448978850007</v>
      </c>
    </row>
    <row r="176" spans="1:35" x14ac:dyDescent="0.2">
      <c r="A176" s="75">
        <v>44620</v>
      </c>
      <c r="B176" s="5">
        <v>40135.873292029995</v>
      </c>
      <c r="C176" s="5">
        <v>427.39760543999773</v>
      </c>
      <c r="D176" s="5">
        <v>-151.50820113998643</v>
      </c>
      <c r="E176" s="5">
        <v>-782.32</v>
      </c>
      <c r="F176" s="5">
        <v>0</v>
      </c>
      <c r="G176" s="5">
        <v>-496</v>
      </c>
      <c r="H176" s="5">
        <v>1200</v>
      </c>
      <c r="I176" s="5">
        <v>0</v>
      </c>
      <c r="J176" s="5">
        <v>0</v>
      </c>
      <c r="K176" s="5">
        <v>40333.442696330007</v>
      </c>
      <c r="L176" s="5">
        <v>0</v>
      </c>
      <c r="M176" s="5">
        <v>0</v>
      </c>
      <c r="N176" s="5">
        <v>-206.60890644999745</v>
      </c>
      <c r="O176" s="5">
        <v>0</v>
      </c>
      <c r="P176" s="5">
        <v>0</v>
      </c>
      <c r="Q176" s="5" t="s">
        <v>98</v>
      </c>
      <c r="R176" s="5">
        <v>32.084223879999627</v>
      </c>
      <c r="S176" s="5">
        <v>0</v>
      </c>
      <c r="T176" s="5">
        <v>-10.46573287999999</v>
      </c>
      <c r="U176" s="5">
        <v>503.9706233</v>
      </c>
      <c r="V176" s="5">
        <v>318.98020785000222</v>
      </c>
      <c r="W176" s="5">
        <v>40652.422904180006</v>
      </c>
      <c r="X176" s="5">
        <v>42756.849107693997</v>
      </c>
      <c r="Y176" s="5">
        <v>0</v>
      </c>
      <c r="Z176" s="5">
        <v>0</v>
      </c>
      <c r="AA176" s="5">
        <v>10595.783288550005</v>
      </c>
      <c r="AB176" s="5">
        <v>0</v>
      </c>
      <c r="AC176" s="5">
        <v>0</v>
      </c>
      <c r="AD176" s="5" t="s">
        <v>98</v>
      </c>
      <c r="AE176" s="5">
        <v>-537.62860900999999</v>
      </c>
      <c r="AF176" s="5">
        <v>2366</v>
      </c>
      <c r="AG176" s="5">
        <v>53744</v>
      </c>
      <c r="AH176" s="5">
        <v>8231</v>
      </c>
      <c r="AI176" s="5">
        <v>74399.154679540006</v>
      </c>
    </row>
    <row r="177" spans="1:36" x14ac:dyDescent="0.2">
      <c r="A177" s="75">
        <v>44651</v>
      </c>
      <c r="B177" s="5">
        <v>40652.422904180006</v>
      </c>
      <c r="C177" s="5">
        <v>4671.4303807799988</v>
      </c>
      <c r="D177" s="5">
        <v>-444.23993195000861</v>
      </c>
      <c r="E177" s="5">
        <v>-1052.0731486</v>
      </c>
      <c r="F177" s="5">
        <v>0</v>
      </c>
      <c r="G177" s="5">
        <v>-497.96000000000004</v>
      </c>
      <c r="H177" s="5">
        <v>1100</v>
      </c>
      <c r="I177" s="5">
        <v>0</v>
      </c>
      <c r="J177" s="5">
        <v>3.1341300000000002E-3</v>
      </c>
      <c r="K177" s="5">
        <v>44429.583338539989</v>
      </c>
      <c r="L177" s="5">
        <v>0</v>
      </c>
      <c r="M177" s="5">
        <v>0</v>
      </c>
      <c r="N177" s="5">
        <v>-42.314737020002212</v>
      </c>
      <c r="O177" s="5">
        <v>0</v>
      </c>
      <c r="P177" s="5">
        <v>-3.42489999999529E-4</v>
      </c>
      <c r="Q177" s="5" t="s">
        <v>98</v>
      </c>
      <c r="R177" s="5">
        <v>452.43159385999979</v>
      </c>
      <c r="S177" s="5">
        <v>0</v>
      </c>
      <c r="T177" s="5">
        <v>-41.364246579999985</v>
      </c>
      <c r="U177" s="5">
        <v>1494.79149998</v>
      </c>
      <c r="V177" s="5">
        <v>1863.5437677499976</v>
      </c>
      <c r="W177" s="5">
        <v>46293.12710628999</v>
      </c>
      <c r="X177" s="5">
        <v>45437.088586284342</v>
      </c>
      <c r="Y177" s="5">
        <v>0</v>
      </c>
      <c r="Z177" s="5">
        <v>0</v>
      </c>
      <c r="AA177" s="5">
        <v>10563.488965369999</v>
      </c>
      <c r="AB177" s="5">
        <v>0</v>
      </c>
      <c r="AC177" s="5">
        <v>0</v>
      </c>
      <c r="AD177" s="5" t="s">
        <v>98</v>
      </c>
      <c r="AE177" s="5">
        <v>-85.238063359999998</v>
      </c>
      <c r="AF177" s="5">
        <v>2306</v>
      </c>
      <c r="AG177" s="5">
        <v>53744</v>
      </c>
      <c r="AH177" s="5">
        <v>9721</v>
      </c>
      <c r="AI177" s="5">
        <v>76249.250902009997</v>
      </c>
    </row>
    <row r="178" spans="1:36" x14ac:dyDescent="0.2">
      <c r="A178" s="75">
        <v>44680</v>
      </c>
      <c r="B178" s="5">
        <v>46293.12710628999</v>
      </c>
      <c r="C178" s="5">
        <v>4430.7332218799947</v>
      </c>
      <c r="D178" s="5">
        <v>-215.15916370999389</v>
      </c>
      <c r="E178" s="5">
        <v>-573.4</v>
      </c>
      <c r="F178" s="5">
        <v>0</v>
      </c>
      <c r="G178" s="5">
        <v>-497</v>
      </c>
      <c r="H178" s="5">
        <v>700</v>
      </c>
      <c r="I178" s="5">
        <v>0</v>
      </c>
      <c r="J178" s="5">
        <v>0.14571359</v>
      </c>
      <c r="K178" s="5">
        <v>50138.446878049988</v>
      </c>
      <c r="L178" s="5">
        <v>0</v>
      </c>
      <c r="M178" s="5">
        <v>0</v>
      </c>
      <c r="N178" s="5">
        <v>-2169.8167114399912</v>
      </c>
      <c r="O178" s="5">
        <v>2.8759000000000423E-4</v>
      </c>
      <c r="P178" s="5">
        <v>0</v>
      </c>
      <c r="Q178" s="5" t="s">
        <v>98</v>
      </c>
      <c r="R178" s="5">
        <v>-729.82116139000027</v>
      </c>
      <c r="S178" s="5">
        <v>0</v>
      </c>
      <c r="T178" s="5">
        <v>-42.858835620000036</v>
      </c>
      <c r="U178" s="5">
        <v>100.98852056</v>
      </c>
      <c r="V178" s="5">
        <v>-2841.5079002999914</v>
      </c>
      <c r="W178" s="5">
        <v>47296.938977749996</v>
      </c>
      <c r="X178" s="5">
        <v>48082.385166022388</v>
      </c>
      <c r="Y178" s="5">
        <v>0</v>
      </c>
      <c r="Z178" s="5">
        <v>0</v>
      </c>
      <c r="AA178" s="5">
        <v>8099.348901250004</v>
      </c>
      <c r="AB178" s="5">
        <v>0</v>
      </c>
      <c r="AC178" s="5">
        <v>0</v>
      </c>
      <c r="AD178" s="5" t="s">
        <v>98</v>
      </c>
      <c r="AE178" s="5">
        <v>-815.1748832899998</v>
      </c>
      <c r="AF178" s="5">
        <v>2264</v>
      </c>
      <c r="AG178" s="5">
        <v>53494</v>
      </c>
      <c r="AH178" s="5">
        <v>9814</v>
      </c>
      <c r="AI178" s="5">
        <v>72856.174017960002</v>
      </c>
    </row>
    <row r="179" spans="1:36" x14ac:dyDescent="0.2">
      <c r="A179" s="75">
        <v>44712</v>
      </c>
      <c r="B179" s="5">
        <v>47296.938977749996</v>
      </c>
      <c r="C179" s="5">
        <v>-6006.426455089997</v>
      </c>
      <c r="D179" s="5">
        <v>226.99738767999889</v>
      </c>
      <c r="E179" s="5">
        <v>-938.08199999999999</v>
      </c>
      <c r="F179" s="5">
        <v>0</v>
      </c>
      <c r="G179" s="5">
        <v>-494</v>
      </c>
      <c r="H179" s="5">
        <v>850</v>
      </c>
      <c r="I179" s="5">
        <v>0</v>
      </c>
      <c r="J179" s="5">
        <v>0</v>
      </c>
      <c r="K179" s="5">
        <v>40935.427910339997</v>
      </c>
      <c r="L179" s="5">
        <v>0</v>
      </c>
      <c r="M179" s="5">
        <v>0</v>
      </c>
      <c r="N179" s="5">
        <v>3704.3808561700025</v>
      </c>
      <c r="O179" s="5">
        <v>-798.89686799000003</v>
      </c>
      <c r="P179" s="5">
        <v>-9.2470999999960668E-4</v>
      </c>
      <c r="Q179" s="5" t="s">
        <v>98</v>
      </c>
      <c r="R179" s="5">
        <v>678.99036865000016</v>
      </c>
      <c r="S179" s="5">
        <v>0</v>
      </c>
      <c r="T179" s="5">
        <v>-26.583506849999992</v>
      </c>
      <c r="U179" s="5">
        <v>721.68216439000003</v>
      </c>
      <c r="V179" s="5">
        <v>4279.5720896600023</v>
      </c>
      <c r="W179" s="5">
        <v>45215</v>
      </c>
      <c r="X179" s="5">
        <v>46379.319348100456</v>
      </c>
      <c r="Y179" s="5">
        <v>0</v>
      </c>
      <c r="Z179" s="5">
        <v>0</v>
      </c>
      <c r="AA179" s="5">
        <v>12113.659049949998</v>
      </c>
      <c r="AB179" s="5">
        <v>-800</v>
      </c>
      <c r="AC179" s="5">
        <v>0</v>
      </c>
      <c r="AD179" s="5" t="s">
        <v>98</v>
      </c>
      <c r="AE179" s="5">
        <v>-136.4561515</v>
      </c>
      <c r="AF179" s="5">
        <v>2238</v>
      </c>
      <c r="AG179" s="5">
        <v>53494</v>
      </c>
      <c r="AH179" s="5">
        <v>10525</v>
      </c>
      <c r="AI179" s="5">
        <v>77434.202898449992</v>
      </c>
    </row>
    <row r="180" spans="1:36" x14ac:dyDescent="0.2">
      <c r="A180" s="75">
        <v>44742</v>
      </c>
      <c r="B180" s="5">
        <v>45215</v>
      </c>
      <c r="C180" s="5">
        <v>553</v>
      </c>
      <c r="D180" s="5">
        <v>342</v>
      </c>
      <c r="E180" s="5">
        <v>-576</v>
      </c>
      <c r="F180" s="5">
        <v>0</v>
      </c>
      <c r="G180" s="5">
        <v>-603</v>
      </c>
      <c r="H180" s="5">
        <v>900</v>
      </c>
      <c r="I180" s="5">
        <v>0</v>
      </c>
      <c r="J180" s="5">
        <v>8.4401000000000004E-2</v>
      </c>
      <c r="K180" s="5">
        <v>45831.084401</v>
      </c>
      <c r="L180" s="5">
        <v>0</v>
      </c>
      <c r="M180" s="5">
        <v>0</v>
      </c>
      <c r="N180" s="5">
        <v>-2665.5242041099991</v>
      </c>
      <c r="O180" s="5">
        <v>600.38306217000002</v>
      </c>
      <c r="P180" s="5">
        <v>0</v>
      </c>
      <c r="Q180" s="5" t="s">
        <v>98</v>
      </c>
      <c r="R180" s="5">
        <v>-638</v>
      </c>
      <c r="S180" s="5">
        <v>0</v>
      </c>
      <c r="T180" s="5">
        <v>-40.180753420000002</v>
      </c>
      <c r="U180" s="5">
        <v>1798</v>
      </c>
      <c r="V180" s="5">
        <v>-945.32189535999942</v>
      </c>
      <c r="W180" s="5">
        <v>44885.762505639999</v>
      </c>
      <c r="X180" s="5">
        <v>48941</v>
      </c>
      <c r="Y180" s="5">
        <v>0</v>
      </c>
      <c r="Z180" s="5">
        <v>0</v>
      </c>
      <c r="AA180" s="5">
        <v>9467.4101181999995</v>
      </c>
      <c r="AB180" s="5">
        <v>-200</v>
      </c>
      <c r="AC180" s="5">
        <v>0</v>
      </c>
      <c r="AD180" s="5" t="s">
        <v>98</v>
      </c>
      <c r="AE180" s="5">
        <v>-775.46376760999988</v>
      </c>
      <c r="AF180" s="5">
        <v>2198</v>
      </c>
      <c r="AG180" s="5">
        <v>53494</v>
      </c>
      <c r="AH180" s="5">
        <v>12310</v>
      </c>
      <c r="AI180" s="5">
        <v>76493.946350590006</v>
      </c>
    </row>
    <row r="181" spans="1:36" x14ac:dyDescent="0.2">
      <c r="A181" s="75">
        <v>44771</v>
      </c>
      <c r="B181" s="5">
        <v>44885.489182720004</v>
      </c>
      <c r="C181" s="5">
        <v>4427.5663824599987</v>
      </c>
      <c r="D181" s="5">
        <v>432.61949155999997</v>
      </c>
      <c r="E181" s="5">
        <v>-1347</v>
      </c>
      <c r="F181" s="5">
        <v>0</v>
      </c>
      <c r="G181" s="5">
        <v>-491</v>
      </c>
      <c r="H181" s="5">
        <v>500</v>
      </c>
      <c r="I181" s="5">
        <v>0</v>
      </c>
      <c r="J181" s="5">
        <v>9.2848954100000007</v>
      </c>
      <c r="K181" s="5">
        <v>48416.959952149999</v>
      </c>
      <c r="L181" s="5">
        <v>0</v>
      </c>
      <c r="M181" s="5">
        <v>-1212.7904315100004</v>
      </c>
      <c r="N181" s="5">
        <v>-5.3328295300088939</v>
      </c>
      <c r="O181" s="5">
        <v>-199.04647934000002</v>
      </c>
      <c r="P181" s="5">
        <v>0</v>
      </c>
      <c r="Q181" s="5" t="s">
        <v>98</v>
      </c>
      <c r="R181" s="5">
        <v>378.39335037999945</v>
      </c>
      <c r="S181" s="5">
        <v>0</v>
      </c>
      <c r="T181" s="5">
        <v>-34.490000000000009</v>
      </c>
      <c r="U181" s="5">
        <v>369.62794523000002</v>
      </c>
      <c r="V181" s="5">
        <v>-703.63844477000998</v>
      </c>
      <c r="W181" s="5">
        <v>47713.321507379987</v>
      </c>
      <c r="X181" s="5">
        <v>52400.877933787138</v>
      </c>
      <c r="Y181" s="5">
        <v>0</v>
      </c>
      <c r="Z181" s="5">
        <v>-1213</v>
      </c>
      <c r="AA181" s="5">
        <v>9474</v>
      </c>
      <c r="AB181" s="5">
        <v>-400</v>
      </c>
      <c r="AC181" s="5">
        <v>0</v>
      </c>
      <c r="AD181" s="5" t="s">
        <v>98</v>
      </c>
      <c r="AE181" s="5">
        <v>-396</v>
      </c>
      <c r="AF181" s="5">
        <v>2165</v>
      </c>
      <c r="AG181" s="5">
        <v>53079</v>
      </c>
      <c r="AH181" s="5">
        <v>12660</v>
      </c>
      <c r="AI181" s="5">
        <v>75369</v>
      </c>
      <c r="AJ181" s="88"/>
    </row>
    <row r="182" spans="1:36" x14ac:dyDescent="0.2">
      <c r="A182" s="75">
        <v>44804</v>
      </c>
      <c r="B182" s="5">
        <v>47713.303479449991</v>
      </c>
      <c r="C182" s="5">
        <v>-429.97411851000254</v>
      </c>
      <c r="D182" s="5">
        <v>209.41142478997705</v>
      </c>
      <c r="E182" s="5">
        <v>-2757.63</v>
      </c>
      <c r="F182" s="5">
        <v>0</v>
      </c>
      <c r="G182" s="5">
        <v>-376</v>
      </c>
      <c r="H182" s="5">
        <v>600</v>
      </c>
      <c r="I182" s="5">
        <v>0</v>
      </c>
      <c r="J182" s="5">
        <v>0</v>
      </c>
      <c r="K182" s="5">
        <v>44959.110785729972</v>
      </c>
      <c r="L182" s="5">
        <v>0</v>
      </c>
      <c r="M182" s="5">
        <v>-469.9933602500023</v>
      </c>
      <c r="N182" s="5">
        <v>-425.95730287997867</v>
      </c>
      <c r="O182" s="5">
        <v>-797.10156443000005</v>
      </c>
      <c r="P182" s="5">
        <v>0</v>
      </c>
      <c r="Q182" s="5" t="s">
        <v>98</v>
      </c>
      <c r="R182" s="5">
        <v>-64.010326850000638</v>
      </c>
      <c r="S182" s="5">
        <v>0</v>
      </c>
      <c r="T182" s="5">
        <v>-4.0099726000000002</v>
      </c>
      <c r="U182" s="5">
        <v>1374.4920548</v>
      </c>
      <c r="V182" s="5">
        <v>-386.58047220998174</v>
      </c>
      <c r="W182" s="5">
        <v>44572.530313519994</v>
      </c>
      <c r="X182" s="5">
        <v>50914.280003648688</v>
      </c>
      <c r="Y182" s="5">
        <v>0</v>
      </c>
      <c r="Z182" s="5">
        <v>-2685</v>
      </c>
      <c r="AA182" s="5">
        <v>9067</v>
      </c>
      <c r="AB182" s="5">
        <v>-1600</v>
      </c>
      <c r="AC182" s="5">
        <v>0</v>
      </c>
      <c r="AD182" s="5" t="s">
        <v>98</v>
      </c>
      <c r="AE182" s="5">
        <v>-460</v>
      </c>
      <c r="AF182" s="5">
        <v>2161</v>
      </c>
      <c r="AG182" s="5">
        <v>52664</v>
      </c>
      <c r="AH182" s="5">
        <v>14010</v>
      </c>
      <c r="AI182" s="5">
        <v>73157</v>
      </c>
      <c r="AJ182" s="88"/>
    </row>
    <row r="183" spans="1:36" x14ac:dyDescent="0.2">
      <c r="A183" s="75">
        <v>44834</v>
      </c>
      <c r="B183" s="5">
        <v>44572.530313519994</v>
      </c>
      <c r="C183" s="5">
        <v>1280.9323551400003</v>
      </c>
      <c r="D183" s="5">
        <v>1055.3641247400001</v>
      </c>
      <c r="E183" s="5">
        <v>-1449.587</v>
      </c>
      <c r="F183" s="5">
        <v>0</v>
      </c>
      <c r="G183" s="5">
        <v>-490.36</v>
      </c>
      <c r="H183" s="5">
        <v>600</v>
      </c>
      <c r="I183" s="5">
        <v>0</v>
      </c>
      <c r="J183" s="5">
        <v>0</v>
      </c>
      <c r="K183" s="5">
        <v>45568.879793399996</v>
      </c>
      <c r="L183" s="5">
        <v>0</v>
      </c>
      <c r="M183" s="5">
        <v>-507.54884368000057</v>
      </c>
      <c r="N183" s="5">
        <v>294.73329013001057</v>
      </c>
      <c r="O183" s="5">
        <v>926.63474339999993</v>
      </c>
      <c r="P183" s="5">
        <v>49.999465700000002</v>
      </c>
      <c r="Q183" s="5" t="s">
        <v>98</v>
      </c>
      <c r="R183" s="5">
        <v>-80.365086349999956</v>
      </c>
      <c r="S183" s="5">
        <v>0</v>
      </c>
      <c r="T183" s="5">
        <v>-65.149589039999995</v>
      </c>
      <c r="U183" s="5">
        <v>764.99506856000005</v>
      </c>
      <c r="V183" s="5">
        <v>1383.29904872001</v>
      </c>
      <c r="W183" s="5">
        <v>46952.178842120004</v>
      </c>
      <c r="X183" s="5">
        <v>48675.180342732259</v>
      </c>
      <c r="Y183" s="5">
        <v>0</v>
      </c>
      <c r="Z183" s="5">
        <v>-3195</v>
      </c>
      <c r="AA183" s="5">
        <v>9394</v>
      </c>
      <c r="AB183" s="5">
        <v>-275</v>
      </c>
      <c r="AC183" s="5">
        <v>50</v>
      </c>
      <c r="AD183" s="5" t="s">
        <v>98</v>
      </c>
      <c r="AE183" s="5">
        <v>-541</v>
      </c>
      <c r="AF183" s="5">
        <v>2096</v>
      </c>
      <c r="AG183" s="5">
        <v>52249</v>
      </c>
      <c r="AH183" s="5">
        <v>14745</v>
      </c>
      <c r="AI183" s="5">
        <v>74523</v>
      </c>
      <c r="AJ183" s="88"/>
    </row>
    <row r="184" spans="1:36" x14ac:dyDescent="0.2">
      <c r="A184" s="75">
        <v>44865</v>
      </c>
      <c r="B184" s="5">
        <v>46952.031915849999</v>
      </c>
      <c r="C184" s="5">
        <v>1772.9748218099967</v>
      </c>
      <c r="D184" s="5">
        <v>-330.7530731400002</v>
      </c>
      <c r="E184" s="5">
        <v>-1374.48</v>
      </c>
      <c r="F184" s="5">
        <v>0</v>
      </c>
      <c r="G184" s="5">
        <v>-490</v>
      </c>
      <c r="H184" s="5">
        <v>580</v>
      </c>
      <c r="I184" s="5">
        <v>0</v>
      </c>
      <c r="J184" s="5">
        <v>0</v>
      </c>
      <c r="K184" s="5">
        <v>47109.773664519998</v>
      </c>
      <c r="L184" s="5">
        <v>0</v>
      </c>
      <c r="M184" s="5">
        <v>1507.9049642000027</v>
      </c>
      <c r="N184" s="5">
        <v>-691.14688159000798</v>
      </c>
      <c r="O184" s="5">
        <v>-996.5858790100001</v>
      </c>
      <c r="P184" s="5">
        <v>69.986643839999999</v>
      </c>
      <c r="Q184" s="5" t="s">
        <v>98</v>
      </c>
      <c r="R184" s="5">
        <v>393.66417327999989</v>
      </c>
      <c r="S184" s="5">
        <v>0</v>
      </c>
      <c r="T184" s="5">
        <v>-4.0301643800000004</v>
      </c>
      <c r="U184" s="5">
        <v>1652</v>
      </c>
      <c r="V184" s="5">
        <v>1931.7928563399946</v>
      </c>
      <c r="W184" s="5">
        <v>49041.566520859997</v>
      </c>
      <c r="X184" s="5">
        <v>52555.597160644764</v>
      </c>
      <c r="Y184" s="5">
        <v>0</v>
      </c>
      <c r="Z184" s="5">
        <v>-780</v>
      </c>
      <c r="AA184" s="5">
        <v>8720.4846019300003</v>
      </c>
      <c r="AB184" s="5">
        <v>-1675</v>
      </c>
      <c r="AC184" s="5">
        <v>120</v>
      </c>
      <c r="AD184" s="5" t="s">
        <v>98</v>
      </c>
      <c r="AE184" s="5">
        <v>-147.87843551000003</v>
      </c>
      <c r="AF184" s="5">
        <v>2092</v>
      </c>
      <c r="AG184" s="5">
        <v>51834</v>
      </c>
      <c r="AH184" s="5">
        <v>16397</v>
      </c>
      <c r="AI184" s="5">
        <v>76560.60616642001</v>
      </c>
      <c r="AJ184" s="88"/>
    </row>
    <row r="185" spans="1:36" x14ac:dyDescent="0.2">
      <c r="A185" s="75">
        <v>44895</v>
      </c>
      <c r="B185" s="5">
        <v>49041.369520339991</v>
      </c>
      <c r="C185" s="5">
        <v>4381.5295819700004</v>
      </c>
      <c r="D185" s="5">
        <v>-2176.3448039700261</v>
      </c>
      <c r="E185" s="5">
        <v>-4444.6499999999996</v>
      </c>
      <c r="F185" s="5">
        <v>0</v>
      </c>
      <c r="G185" s="5">
        <v>-703</v>
      </c>
      <c r="H185" s="5">
        <v>900</v>
      </c>
      <c r="I185" s="5">
        <v>0</v>
      </c>
      <c r="J185" s="5">
        <v>1.2338011099999997</v>
      </c>
      <c r="K185" s="5">
        <v>47000.13809944997</v>
      </c>
      <c r="L185" s="5">
        <v>0</v>
      </c>
      <c r="M185" s="5">
        <v>-164.04535911999483</v>
      </c>
      <c r="N185" s="5">
        <v>3697.9915541200171</v>
      </c>
      <c r="O185" s="5">
        <v>-418.90875290999975</v>
      </c>
      <c r="P185" s="5">
        <v>-120.01335634999998</v>
      </c>
      <c r="Q185" s="5" t="s">
        <v>98</v>
      </c>
      <c r="R185" s="5">
        <v>87.132443380000041</v>
      </c>
      <c r="S185" s="5">
        <v>0</v>
      </c>
      <c r="T185" s="5">
        <v>-44.72761644000002</v>
      </c>
      <c r="U185" s="5">
        <v>2366.47328771</v>
      </c>
      <c r="V185" s="5">
        <v>5403.9022003900227</v>
      </c>
      <c r="W185" s="5">
        <v>52404.040299839995</v>
      </c>
      <c r="X185" s="5">
        <v>52392.646383132276</v>
      </c>
      <c r="Y185" s="5">
        <v>0</v>
      </c>
      <c r="Z185" s="5">
        <v>-1736</v>
      </c>
      <c r="AA185" s="5">
        <v>12445.5</v>
      </c>
      <c r="AB185" s="5">
        <v>-1900</v>
      </c>
      <c r="AC185" s="5">
        <v>0</v>
      </c>
      <c r="AD185" s="5" t="s">
        <v>98</v>
      </c>
      <c r="AE185" s="5">
        <v>-61.024801629999992</v>
      </c>
      <c r="AF185" s="5">
        <v>2048</v>
      </c>
      <c r="AG185" s="5">
        <v>51419</v>
      </c>
      <c r="AH185" s="5">
        <v>19021</v>
      </c>
      <c r="AI185" s="5">
        <v>81236.475198369997</v>
      </c>
      <c r="AJ185" s="88"/>
    </row>
    <row r="186" spans="1:36" x14ac:dyDescent="0.2">
      <c r="A186" s="75">
        <v>44925</v>
      </c>
      <c r="B186" s="5">
        <v>52404.040299839995</v>
      </c>
      <c r="C186" s="5">
        <v>6967.6352168434842</v>
      </c>
      <c r="D186" s="5">
        <v>341.97379149652954</v>
      </c>
      <c r="E186" s="5">
        <v>-1083.499</v>
      </c>
      <c r="F186" s="5">
        <v>0</v>
      </c>
      <c r="G186" s="5">
        <v>-244</v>
      </c>
      <c r="H186" s="5">
        <v>250</v>
      </c>
      <c r="I186" s="5">
        <v>0</v>
      </c>
      <c r="J186" s="5">
        <v>7.9591499999999996E-2</v>
      </c>
      <c r="K186" s="5">
        <v>58636.229899680002</v>
      </c>
      <c r="L186" s="5">
        <v>0</v>
      </c>
      <c r="M186" s="5">
        <v>-208.11812613999609</v>
      </c>
      <c r="N186" s="5">
        <v>-263.95744536000711</v>
      </c>
      <c r="O186" s="5">
        <v>-1797.2152614800002</v>
      </c>
      <c r="P186" s="5">
        <v>0</v>
      </c>
      <c r="Q186" s="5" t="s">
        <v>98</v>
      </c>
      <c r="R186" s="5">
        <v>-269.71794884000064</v>
      </c>
      <c r="S186" s="5">
        <v>0</v>
      </c>
      <c r="T186" s="5">
        <v>-37.574027399999977</v>
      </c>
      <c r="U186" s="5">
        <v>352.55754110999999</v>
      </c>
      <c r="V186" s="5">
        <v>-2224.0252681100042</v>
      </c>
      <c r="W186" s="5">
        <v>56412.204631569999</v>
      </c>
      <c r="X186" s="5">
        <v>54219.463172871227</v>
      </c>
      <c r="Y186" s="5">
        <v>0</v>
      </c>
      <c r="Z186" s="5">
        <v>-1067</v>
      </c>
      <c r="AA186" s="5">
        <v>12226.70097281</v>
      </c>
      <c r="AB186" s="5">
        <v>-3510</v>
      </c>
      <c r="AC186" s="5">
        <v>0</v>
      </c>
      <c r="AD186" s="5" t="s">
        <v>98</v>
      </c>
      <c r="AE186" s="5">
        <v>-338.67615755999998</v>
      </c>
      <c r="AF186" s="5">
        <v>2011</v>
      </c>
      <c r="AG186" s="5">
        <v>51004</v>
      </c>
      <c r="AH186" s="5">
        <v>19021</v>
      </c>
      <c r="AI186" s="5">
        <v>79347.024815249999</v>
      </c>
      <c r="AJ186" s="88"/>
    </row>
    <row r="187" spans="1:36" x14ac:dyDescent="0.2">
      <c r="A187" s="75">
        <v>44957</v>
      </c>
      <c r="B187" s="5">
        <v>56412.204631569999</v>
      </c>
      <c r="C187" s="5">
        <v>-8007.2549127974489</v>
      </c>
      <c r="D187" s="5">
        <v>-557.82204936255857</v>
      </c>
      <c r="E187" s="5">
        <v>-715.76</v>
      </c>
      <c r="F187" s="5">
        <v>0</v>
      </c>
      <c r="G187" s="5">
        <v>-490</v>
      </c>
      <c r="H187" s="5">
        <v>570</v>
      </c>
      <c r="I187" s="5">
        <v>0</v>
      </c>
      <c r="J187" s="5">
        <v>0</v>
      </c>
      <c r="K187" s="5">
        <v>47211.367669409992</v>
      </c>
      <c r="L187" s="5">
        <v>0</v>
      </c>
      <c r="M187" s="5">
        <v>470.82654797000032</v>
      </c>
      <c r="N187" s="5">
        <v>384.42165713000031</v>
      </c>
      <c r="O187" s="5">
        <v>-78.301155120000203</v>
      </c>
      <c r="P187" s="5">
        <v>120</v>
      </c>
      <c r="Q187" s="5" t="s">
        <v>98</v>
      </c>
      <c r="R187" s="5">
        <v>264.07205831999977</v>
      </c>
      <c r="S187" s="5">
        <v>0</v>
      </c>
      <c r="T187" s="5">
        <v>-366.93991781</v>
      </c>
      <c r="U187" s="5">
        <v>0</v>
      </c>
      <c r="V187" s="5">
        <v>794.0791904900002</v>
      </c>
      <c r="W187" s="5">
        <v>48005.446859899996</v>
      </c>
      <c r="X187" s="5">
        <v>53970.198573817041</v>
      </c>
      <c r="Y187" s="5">
        <v>0</v>
      </c>
      <c r="Z187" s="5">
        <v>-599</v>
      </c>
      <c r="AA187" s="5">
        <v>12645.5</v>
      </c>
      <c r="AB187" s="5">
        <v>-3600</v>
      </c>
      <c r="AC187" s="5">
        <v>120</v>
      </c>
      <c r="AD187" s="5" t="s">
        <v>98</v>
      </c>
      <c r="AE187" s="5">
        <v>-74.960123109999998</v>
      </c>
      <c r="AF187" s="5">
        <v>1979</v>
      </c>
      <c r="AG187" s="5">
        <v>50589</v>
      </c>
      <c r="AH187" s="5">
        <v>19021</v>
      </c>
      <c r="AI187" s="5">
        <v>80080.53987688999</v>
      </c>
      <c r="AJ187" s="88"/>
    </row>
    <row r="188" spans="1:36" x14ac:dyDescent="0.2">
      <c r="A188" s="75">
        <v>44985</v>
      </c>
      <c r="B188" s="5">
        <v>48005.446859899996</v>
      </c>
      <c r="C188" s="5">
        <v>-57.707277540000632</v>
      </c>
      <c r="D188" s="5">
        <v>-1327.57314574</v>
      </c>
      <c r="E188" s="5">
        <v>-1458</v>
      </c>
      <c r="F188" s="5">
        <v>0</v>
      </c>
      <c r="G188" s="5">
        <v>-487</v>
      </c>
      <c r="H188" s="5">
        <v>420</v>
      </c>
      <c r="I188" s="5">
        <v>0</v>
      </c>
      <c r="J188" s="5">
        <v>0.27472999999999997</v>
      </c>
      <c r="K188" s="5">
        <v>45095.441166619989</v>
      </c>
      <c r="L188" s="5">
        <v>0</v>
      </c>
      <c r="M188" s="5">
        <v>599.80771506999963</v>
      </c>
      <c r="N188" s="5">
        <v>3405.3396019600004</v>
      </c>
      <c r="O188" s="5">
        <v>-241.31084782000016</v>
      </c>
      <c r="P188" s="5">
        <v>-45.014794519999995</v>
      </c>
      <c r="Q188" s="5" t="s">
        <v>98</v>
      </c>
      <c r="R188" s="5">
        <v>-118.80141898999909</v>
      </c>
      <c r="S188" s="5">
        <v>0</v>
      </c>
      <c r="T188" s="5">
        <v>321.96741096</v>
      </c>
      <c r="U188" s="5">
        <v>0</v>
      </c>
      <c r="V188" s="5">
        <v>3921.9876666600007</v>
      </c>
      <c r="W188" s="5">
        <v>49017.428833279992</v>
      </c>
      <c r="X188" s="5">
        <v>50528.042519241004</v>
      </c>
      <c r="Y188" s="5">
        <v>0</v>
      </c>
      <c r="Z188" s="5">
        <v>0</v>
      </c>
      <c r="AA188" s="5">
        <v>15890.165110700002</v>
      </c>
      <c r="AB188" s="5">
        <v>-3855</v>
      </c>
      <c r="AC188" s="5">
        <v>75</v>
      </c>
      <c r="AD188" s="5" t="s">
        <v>98</v>
      </c>
      <c r="AE188" s="5">
        <v>-194.15773611</v>
      </c>
      <c r="AF188" s="5">
        <v>1967</v>
      </c>
      <c r="AG188" s="5">
        <v>50174</v>
      </c>
      <c r="AH188" s="5">
        <v>19021</v>
      </c>
      <c r="AI188" s="5">
        <v>83078.007374590001</v>
      </c>
      <c r="AJ188" s="88"/>
    </row>
    <row r="189" spans="1:36" x14ac:dyDescent="0.2">
      <c r="A189" s="75">
        <v>45016</v>
      </c>
      <c r="B189" s="5">
        <v>49017.006728679997</v>
      </c>
      <c r="C189" s="5">
        <v>1247.6462850899968</v>
      </c>
      <c r="D189" s="5">
        <v>725.32631323999999</v>
      </c>
      <c r="E189" s="5">
        <v>-5059</v>
      </c>
      <c r="F189" s="5">
        <v>0</v>
      </c>
      <c r="G189" s="5">
        <v>-732</v>
      </c>
      <c r="H189" s="5">
        <v>470</v>
      </c>
      <c r="I189" s="5">
        <v>0</v>
      </c>
      <c r="J189" s="5">
        <v>1.1325644800000001</v>
      </c>
      <c r="K189" s="5">
        <v>45670.11189149</v>
      </c>
      <c r="L189" s="5">
        <v>0</v>
      </c>
      <c r="M189" s="5">
        <v>-873.92305206000003</v>
      </c>
      <c r="N189" s="5">
        <v>-2893.4806451199993</v>
      </c>
      <c r="O189" s="5">
        <v>3855</v>
      </c>
      <c r="P189" s="5">
        <v>-1.1507030000004193E-2</v>
      </c>
      <c r="Q189" s="5" t="s">
        <v>98</v>
      </c>
      <c r="R189" s="5">
        <v>32.768181449999247</v>
      </c>
      <c r="S189" s="5">
        <v>0</v>
      </c>
      <c r="T189" s="5">
        <v>-43.29195205000002</v>
      </c>
      <c r="U189" s="5">
        <v>0</v>
      </c>
      <c r="V189" s="5">
        <v>77.061025190000024</v>
      </c>
      <c r="W189" s="5">
        <v>45747.17291668</v>
      </c>
      <c r="X189" s="5">
        <v>49379.713054733045</v>
      </c>
      <c r="Y189" s="5">
        <v>0</v>
      </c>
      <c r="Z189" s="5">
        <v>-874</v>
      </c>
      <c r="AA189" s="5">
        <v>13265.62084116</v>
      </c>
      <c r="AB189" s="5">
        <v>0</v>
      </c>
      <c r="AC189" s="5">
        <v>75</v>
      </c>
      <c r="AD189" s="5" t="s">
        <v>98</v>
      </c>
      <c r="AE189" s="5">
        <v>-162.53659961</v>
      </c>
      <c r="AF189" s="5">
        <v>1924</v>
      </c>
      <c r="AG189" s="5">
        <v>49759</v>
      </c>
      <c r="AH189" s="5">
        <v>19021</v>
      </c>
      <c r="AI189" s="5">
        <v>83008.084241550008</v>
      </c>
      <c r="AJ189" s="88"/>
    </row>
    <row r="190" spans="1:36" x14ac:dyDescent="0.2">
      <c r="A190" s="75">
        <v>45044</v>
      </c>
      <c r="B190" s="5">
        <v>45747.094722069989</v>
      </c>
      <c r="C190" s="5">
        <v>4669.4577291400001</v>
      </c>
      <c r="D190" s="5">
        <v>-1274.6280252199999</v>
      </c>
      <c r="E190" s="5">
        <v>-1427</v>
      </c>
      <c r="F190" s="5">
        <v>7010</v>
      </c>
      <c r="G190" s="5">
        <v>-488</v>
      </c>
      <c r="H190" s="5">
        <v>600</v>
      </c>
      <c r="I190" s="5">
        <v>0</v>
      </c>
      <c r="J190" s="5">
        <v>0.1611214</v>
      </c>
      <c r="K190" s="5">
        <v>54837.085547389986</v>
      </c>
      <c r="L190" s="5">
        <v>0</v>
      </c>
      <c r="M190" s="5">
        <v>794.66933152000001</v>
      </c>
      <c r="N190" s="5">
        <v>1619.4161804699997</v>
      </c>
      <c r="O190" s="5">
        <v>-2589.4198942700004</v>
      </c>
      <c r="P190" s="5">
        <v>74.969178080000006</v>
      </c>
      <c r="Q190" s="5" t="s">
        <v>98</v>
      </c>
      <c r="R190" s="5">
        <v>-53.322055419999742</v>
      </c>
      <c r="S190" s="5">
        <v>0</v>
      </c>
      <c r="T190" s="5">
        <v>-10.140232870000006</v>
      </c>
      <c r="U190" s="5">
        <v>0</v>
      </c>
      <c r="V190" s="5">
        <v>-163.82749249000042</v>
      </c>
      <c r="W190" s="5">
        <v>54673.258054899983</v>
      </c>
      <c r="X190" s="5">
        <v>53031.023457798001</v>
      </c>
      <c r="Y190" s="5">
        <v>0</v>
      </c>
      <c r="Z190" s="5">
        <v>-80</v>
      </c>
      <c r="AA190" s="5">
        <v>14927.343448670001</v>
      </c>
      <c r="AB190" s="5">
        <v>-2600</v>
      </c>
      <c r="AC190" s="5">
        <v>150</v>
      </c>
      <c r="AD190" s="5" t="s">
        <v>98</v>
      </c>
      <c r="AE190" s="5">
        <v>-216.99653902999998</v>
      </c>
      <c r="AF190" s="5">
        <v>1914</v>
      </c>
      <c r="AG190" s="5">
        <v>41623</v>
      </c>
      <c r="AH190" s="5">
        <v>19021</v>
      </c>
      <c r="AI190" s="5">
        <v>74738.346909640008</v>
      </c>
      <c r="AJ190" s="88"/>
    </row>
    <row r="191" spans="1:36" x14ac:dyDescent="0.2">
      <c r="A191" s="75">
        <v>45077</v>
      </c>
      <c r="B191" s="5">
        <v>54673.114282860006</v>
      </c>
      <c r="C191" s="5">
        <v>-4249.3475215399994</v>
      </c>
      <c r="D191" s="5">
        <v>29.917484279999826</v>
      </c>
      <c r="E191" s="5">
        <v>-1783.835</v>
      </c>
      <c r="F191" s="5">
        <v>0</v>
      </c>
      <c r="G191" s="5">
        <v>-486.5</v>
      </c>
      <c r="H191" s="5">
        <v>750</v>
      </c>
      <c r="I191" s="5">
        <v>0</v>
      </c>
      <c r="J191" s="5">
        <v>0.80180888000000006</v>
      </c>
      <c r="K191" s="5">
        <v>48934.151054480004</v>
      </c>
      <c r="L191" s="5">
        <v>0</v>
      </c>
      <c r="M191" s="5">
        <v>128.20712739999999</v>
      </c>
      <c r="N191" s="5">
        <v>294.23213822000002</v>
      </c>
      <c r="O191" s="5">
        <v>909.6101786600002</v>
      </c>
      <c r="P191" s="5">
        <v>24.931088819999985</v>
      </c>
      <c r="Q191" s="5" t="s">
        <v>98</v>
      </c>
      <c r="R191" s="5">
        <v>69.023334259999956</v>
      </c>
      <c r="S191" s="5">
        <v>0</v>
      </c>
      <c r="T191" s="5">
        <v>-53.149986290000015</v>
      </c>
      <c r="U191" s="5">
        <v>0</v>
      </c>
      <c r="V191" s="5">
        <v>1372.8538810700002</v>
      </c>
      <c r="W191" s="5">
        <v>50307.004935550001</v>
      </c>
      <c r="X191" s="5">
        <v>51664.623705274782</v>
      </c>
      <c r="Y191" s="5">
        <v>0</v>
      </c>
      <c r="Z191" s="5">
        <v>0</v>
      </c>
      <c r="AA191" s="5">
        <v>15277.343448670001</v>
      </c>
      <c r="AB191" s="5">
        <v>-1700</v>
      </c>
      <c r="AC191" s="5">
        <v>175</v>
      </c>
      <c r="AD191" s="5" t="s">
        <v>98</v>
      </c>
      <c r="AE191" s="5">
        <v>-148.53537334000001</v>
      </c>
      <c r="AF191" s="5">
        <v>1862</v>
      </c>
      <c r="AG191" s="5">
        <v>41208</v>
      </c>
      <c r="AH191" s="5">
        <v>19021</v>
      </c>
      <c r="AI191" s="5">
        <v>75694.808075330002</v>
      </c>
      <c r="AJ191" s="88"/>
    </row>
    <row r="192" spans="1:36" x14ac:dyDescent="0.2">
      <c r="A192" s="75">
        <v>45107</v>
      </c>
      <c r="B192" s="5">
        <v>50306.538781700001</v>
      </c>
      <c r="C192" s="5">
        <v>1946.7050975199988</v>
      </c>
      <c r="D192" s="5">
        <v>201.13833339999596</v>
      </c>
      <c r="E192" s="5">
        <v>-1457.7530000000002</v>
      </c>
      <c r="F192" s="5">
        <v>0</v>
      </c>
      <c r="G192" s="5">
        <v>-486.37299999999999</v>
      </c>
      <c r="H192" s="5">
        <v>360</v>
      </c>
      <c r="I192" s="5">
        <v>0</v>
      </c>
      <c r="J192" s="5">
        <v>0.22545299000000002</v>
      </c>
      <c r="K192" s="5">
        <v>50870.481665610001</v>
      </c>
      <c r="L192" s="5">
        <v>0</v>
      </c>
      <c r="M192" s="5">
        <v>1.2131510000003232E-2</v>
      </c>
      <c r="N192" s="5">
        <v>-4232.6652706799996</v>
      </c>
      <c r="O192" s="5">
        <v>-588.85618062000003</v>
      </c>
      <c r="P192" s="5">
        <v>-175.02756848999999</v>
      </c>
      <c r="Q192" s="5" t="s">
        <v>98</v>
      </c>
      <c r="R192" s="5">
        <v>-275.07407656999976</v>
      </c>
      <c r="S192" s="5">
        <v>0</v>
      </c>
      <c r="T192" s="5">
        <v>-29.267089040000002</v>
      </c>
      <c r="U192" s="5">
        <v>-209.84246575</v>
      </c>
      <c r="V192" s="5">
        <v>-5510.7205196400009</v>
      </c>
      <c r="W192" s="5">
        <v>45359.761145969998</v>
      </c>
      <c r="X192" s="5">
        <v>52251</v>
      </c>
      <c r="Y192" s="5">
        <v>0</v>
      </c>
      <c r="Z192" s="5">
        <v>0</v>
      </c>
      <c r="AA192" s="5">
        <v>11130.411835120001</v>
      </c>
      <c r="AB192" s="5">
        <v>-2300</v>
      </c>
      <c r="AC192" s="5">
        <v>0</v>
      </c>
      <c r="AD192" s="5" t="s">
        <v>98</v>
      </c>
      <c r="AE192" s="5">
        <v>-424.51045555999997</v>
      </c>
      <c r="AF192" s="5">
        <v>1833</v>
      </c>
      <c r="AG192" s="5">
        <v>40773</v>
      </c>
      <c r="AH192" s="5">
        <v>18821</v>
      </c>
      <c r="AI192" s="5">
        <v>69832.901379560004</v>
      </c>
      <c r="AJ192" s="88"/>
    </row>
    <row r="193" spans="1:36" x14ac:dyDescent="0.2">
      <c r="A193" s="75">
        <v>45138</v>
      </c>
      <c r="B193" s="5">
        <v>45359.761145969991</v>
      </c>
      <c r="C193" s="5">
        <v>6017.7161979699958</v>
      </c>
      <c r="D193" s="5">
        <v>155</v>
      </c>
      <c r="E193" s="5">
        <v>-5722.5658870400002</v>
      </c>
      <c r="F193" s="5">
        <v>0</v>
      </c>
      <c r="G193" s="5">
        <v>-973.92343400999994</v>
      </c>
      <c r="H193" s="5">
        <v>500</v>
      </c>
      <c r="I193" s="5">
        <v>0</v>
      </c>
      <c r="J193" s="5">
        <v>3962.45562204</v>
      </c>
      <c r="K193" s="5">
        <v>49297.973042249985</v>
      </c>
      <c r="L193" s="5">
        <v>0</v>
      </c>
      <c r="M193" s="5">
        <v>-519.80323286999999</v>
      </c>
      <c r="N193" s="5">
        <v>1949.6272505599991</v>
      </c>
      <c r="O193" s="5">
        <v>1103.47850705</v>
      </c>
      <c r="P193" s="5">
        <v>0</v>
      </c>
      <c r="Q193" s="5" t="s">
        <v>98</v>
      </c>
      <c r="R193" s="5">
        <v>166.94098276999966</v>
      </c>
      <c r="S193" s="5">
        <v>0</v>
      </c>
      <c r="T193" s="5">
        <v>-35.292547940000077</v>
      </c>
      <c r="U193" s="5">
        <v>0</v>
      </c>
      <c r="V193" s="5">
        <v>2664.9509595699988</v>
      </c>
      <c r="W193" s="5">
        <v>51962.924001819985</v>
      </c>
      <c r="X193" s="5">
        <v>54150</v>
      </c>
      <c r="Y193" s="5">
        <v>0</v>
      </c>
      <c r="Z193" s="5">
        <v>-520</v>
      </c>
      <c r="AA193" s="5">
        <v>13129.086534930002</v>
      </c>
      <c r="AB193" s="5">
        <v>-2150</v>
      </c>
      <c r="AC193" s="5">
        <v>0</v>
      </c>
      <c r="AD193" s="5" t="s">
        <v>98</v>
      </c>
      <c r="AE193" s="5">
        <v>-252.23724141</v>
      </c>
      <c r="AF193" s="5">
        <v>1799</v>
      </c>
      <c r="AG193" s="5">
        <v>40358</v>
      </c>
      <c r="AH193" s="5">
        <v>18821</v>
      </c>
      <c r="AI193" s="5">
        <v>71184.849293520005</v>
      </c>
      <c r="AJ193" s="88"/>
    </row>
    <row r="194" spans="1:36" x14ac:dyDescent="0.2">
      <c r="A194" s="75">
        <v>45169</v>
      </c>
      <c r="B194" s="5">
        <v>51962.924001819985</v>
      </c>
      <c r="C194" s="5">
        <v>-1470.662951719997</v>
      </c>
      <c r="D194" s="5">
        <v>106.81931479000673</v>
      </c>
      <c r="E194" s="5">
        <v>-2133</v>
      </c>
      <c r="F194" s="5">
        <v>0</v>
      </c>
      <c r="G194" s="5">
        <v>-1215.17</v>
      </c>
      <c r="H194" s="5">
        <v>460</v>
      </c>
      <c r="I194" s="5">
        <v>0</v>
      </c>
      <c r="J194" s="5">
        <v>-84.250623529999999</v>
      </c>
      <c r="K194" s="5">
        <v>47626.659741359996</v>
      </c>
      <c r="L194" s="5">
        <v>0</v>
      </c>
      <c r="M194" s="5">
        <v>535.07915069000001</v>
      </c>
      <c r="N194" s="5">
        <v>985.0800510300005</v>
      </c>
      <c r="O194" s="5">
        <v>-190.3653906100003</v>
      </c>
      <c r="P194" s="5">
        <v>-1.2603399999999709E-3</v>
      </c>
      <c r="Q194" s="5" t="s">
        <v>98</v>
      </c>
      <c r="R194" s="5">
        <v>292.18318309999972</v>
      </c>
      <c r="S194" s="5">
        <v>0</v>
      </c>
      <c r="T194" s="5">
        <v>-31.256575349999991</v>
      </c>
      <c r="U194" s="5">
        <v>0</v>
      </c>
      <c r="V194" s="5">
        <v>1590.7191585199998</v>
      </c>
      <c r="W194" s="5">
        <v>49217.378899879994</v>
      </c>
      <c r="X194" s="5">
        <v>54714.382845287386</v>
      </c>
      <c r="Y194" s="5">
        <v>0</v>
      </c>
      <c r="Z194" s="5">
        <v>0</v>
      </c>
      <c r="AA194" s="5">
        <v>14137.75127203</v>
      </c>
      <c r="AB194" s="5">
        <v>-1400</v>
      </c>
      <c r="AC194" s="5">
        <v>0</v>
      </c>
      <c r="AD194" s="5" t="s">
        <v>98</v>
      </c>
      <c r="AE194" s="5">
        <v>-5.4220574599999996</v>
      </c>
      <c r="AF194" s="5">
        <v>1768</v>
      </c>
      <c r="AG194" s="5">
        <v>39943</v>
      </c>
      <c r="AH194" s="5">
        <v>18821</v>
      </c>
      <c r="AI194" s="5">
        <v>73264.329214569996</v>
      </c>
    </row>
    <row r="195" spans="1:36" x14ac:dyDescent="0.2">
      <c r="A195" s="75">
        <v>45198</v>
      </c>
      <c r="B195" s="5">
        <v>49217.378899879994</v>
      </c>
      <c r="C195" s="5">
        <v>1314.9526923299995</v>
      </c>
      <c r="D195" s="5">
        <v>18.599863090000014</v>
      </c>
      <c r="E195" s="5">
        <v>-1638.28</v>
      </c>
      <c r="F195" s="5">
        <v>0</v>
      </c>
      <c r="G195" s="5">
        <v>-972.48900000000003</v>
      </c>
      <c r="H195" s="5">
        <v>500</v>
      </c>
      <c r="I195" s="5">
        <v>0</v>
      </c>
      <c r="J195" s="5">
        <v>1.2879508900000001</v>
      </c>
      <c r="K195" s="5">
        <v>48441.450406189993</v>
      </c>
      <c r="L195" s="5">
        <v>0</v>
      </c>
      <c r="M195" s="5">
        <v>0.1516438300000118</v>
      </c>
      <c r="N195" s="5">
        <v>-346.62071425999966</v>
      </c>
      <c r="O195" s="5">
        <v>-94.526328890000059</v>
      </c>
      <c r="P195" s="5">
        <v>179.99984247</v>
      </c>
      <c r="Q195" s="5" t="s">
        <v>98</v>
      </c>
      <c r="R195" s="5">
        <v>1.9189238300000966</v>
      </c>
      <c r="S195" s="5">
        <v>0</v>
      </c>
      <c r="T195" s="5">
        <v>-25.061931510000022</v>
      </c>
      <c r="U195" s="5">
        <v>0</v>
      </c>
      <c r="V195" s="5">
        <v>-284.13856452999966</v>
      </c>
      <c r="W195" s="5">
        <v>48157.311841659997</v>
      </c>
      <c r="X195" s="5">
        <v>52118.774670447601</v>
      </c>
      <c r="Y195" s="5">
        <v>0</v>
      </c>
      <c r="Z195" s="5">
        <v>0</v>
      </c>
      <c r="AA195" s="5">
        <v>13924.989289469999</v>
      </c>
      <c r="AB195" s="5">
        <v>-1500</v>
      </c>
      <c r="AC195" s="5">
        <v>180</v>
      </c>
      <c r="AD195" s="5" t="s">
        <v>98</v>
      </c>
      <c r="AE195" s="5">
        <v>-3.5993542000000001</v>
      </c>
      <c r="AF195" s="5">
        <v>1743</v>
      </c>
      <c r="AG195" s="5">
        <v>39528</v>
      </c>
      <c r="AH195" s="5">
        <v>18821</v>
      </c>
      <c r="AI195" s="5">
        <v>72693.389935269995</v>
      </c>
    </row>
    <row r="196" spans="1:36" x14ac:dyDescent="0.2">
      <c r="A196" s="75">
        <v>45230</v>
      </c>
      <c r="B196" s="5">
        <v>48157.299331249989</v>
      </c>
      <c r="C196" s="5">
        <v>1919.9742978399991</v>
      </c>
      <c r="D196" s="5">
        <v>629.641003020006</v>
      </c>
      <c r="E196" s="5">
        <v>-2097.0909999999999</v>
      </c>
      <c r="F196" s="5">
        <v>0</v>
      </c>
      <c r="G196" s="5">
        <v>-802.61099999999988</v>
      </c>
      <c r="H196" s="5">
        <v>700</v>
      </c>
      <c r="I196" s="5">
        <v>0</v>
      </c>
      <c r="J196" s="5">
        <v>2.700162E-2</v>
      </c>
      <c r="K196" s="5">
        <v>48507.239633730002</v>
      </c>
      <c r="L196" s="5">
        <v>0</v>
      </c>
      <c r="M196" s="5">
        <v>0.15386301000012281</v>
      </c>
      <c r="N196" s="5">
        <v>1289.0231659099991</v>
      </c>
      <c r="O196" s="5">
        <v>-590.75547879000032</v>
      </c>
      <c r="P196" s="5">
        <v>-8.9794519999941258E-2</v>
      </c>
      <c r="Q196" s="5" t="s">
        <v>98</v>
      </c>
      <c r="R196" s="5">
        <v>3.712384939999879</v>
      </c>
      <c r="S196" s="5">
        <v>0</v>
      </c>
      <c r="T196" s="5">
        <v>-27.045472600000011</v>
      </c>
      <c r="U196" s="5">
        <v>0</v>
      </c>
      <c r="V196" s="5">
        <v>674.99866794999878</v>
      </c>
      <c r="W196" s="5">
        <v>49182.238301680001</v>
      </c>
      <c r="X196" s="5">
        <v>53137.545958375908</v>
      </c>
      <c r="Y196" s="5">
        <v>0</v>
      </c>
      <c r="Z196" s="5">
        <v>0</v>
      </c>
      <c r="AA196" s="5">
        <v>15268.85743108</v>
      </c>
      <c r="AB196" s="5">
        <v>-2100</v>
      </c>
      <c r="AC196" s="5">
        <v>180</v>
      </c>
      <c r="AD196" s="5" t="s">
        <v>98</v>
      </c>
      <c r="AE196" s="5">
        <v>0</v>
      </c>
      <c r="AF196" s="5">
        <v>1716</v>
      </c>
      <c r="AG196" s="5">
        <v>39113</v>
      </c>
      <c r="AH196" s="5">
        <v>18821</v>
      </c>
      <c r="AI196" s="5">
        <v>72998.857431080003</v>
      </c>
    </row>
    <row r="197" spans="1:36" x14ac:dyDescent="0.2">
      <c r="A197" s="75">
        <v>45260</v>
      </c>
      <c r="B197" s="89">
        <v>49182.238301680001</v>
      </c>
      <c r="C197" s="5">
        <v>954.92056631999674</v>
      </c>
      <c r="D197" s="89">
        <v>-37.371708409999002</v>
      </c>
      <c r="E197" s="5">
        <v>-1755.2470000000001</v>
      </c>
      <c r="F197" s="5">
        <v>0</v>
      </c>
      <c r="G197" s="5">
        <v>-1222.6000000000001</v>
      </c>
      <c r="H197" s="5">
        <v>1050</v>
      </c>
      <c r="I197" s="5">
        <v>0</v>
      </c>
      <c r="J197" s="5">
        <v>0</v>
      </c>
      <c r="K197" s="5">
        <v>48171.940159589998</v>
      </c>
      <c r="L197" s="5">
        <v>0</v>
      </c>
      <c r="M197" s="5">
        <v>-84.732367119999992</v>
      </c>
      <c r="N197" s="5">
        <v>1398.3809680200011</v>
      </c>
      <c r="O197" s="5">
        <v>-344.26808484000048</v>
      </c>
      <c r="P197" s="5">
        <v>-180.02961671000003</v>
      </c>
      <c r="Q197" s="5" t="s">
        <v>98</v>
      </c>
      <c r="R197" s="5">
        <v>-78.184673140000086</v>
      </c>
      <c r="S197" s="5">
        <v>0</v>
      </c>
      <c r="T197" s="5">
        <v>-45.325678080000102</v>
      </c>
      <c r="U197" s="5">
        <v>0</v>
      </c>
      <c r="V197" s="5">
        <v>665.84054813000046</v>
      </c>
      <c r="W197" s="5">
        <v>48837.780707719998</v>
      </c>
      <c r="X197" s="5">
        <v>50980.14943836</v>
      </c>
      <c r="Y197" s="5">
        <v>0</v>
      </c>
      <c r="Z197" s="5">
        <v>-85</v>
      </c>
      <c r="AA197" s="5">
        <v>16741.5</v>
      </c>
      <c r="AB197" s="5">
        <v>-2460</v>
      </c>
      <c r="AC197" s="5">
        <v>0</v>
      </c>
      <c r="AD197" s="5" t="s">
        <v>98</v>
      </c>
      <c r="AE197" s="5">
        <v>-78.282349909999994</v>
      </c>
      <c r="AF197" s="5">
        <v>1671</v>
      </c>
      <c r="AG197" s="5">
        <v>38698</v>
      </c>
      <c r="AH197" s="5">
        <v>18821</v>
      </c>
      <c r="AI197" s="5">
        <v>73308.217650089995</v>
      </c>
    </row>
    <row r="198" spans="1:36" x14ac:dyDescent="0.2">
      <c r="A198" s="75">
        <v>45289</v>
      </c>
      <c r="B198" s="5">
        <v>48837.78070771999</v>
      </c>
      <c r="C198" s="5">
        <v>5555.2301507314914</v>
      </c>
      <c r="D198" s="5">
        <v>615.67343111000014</v>
      </c>
      <c r="E198" s="5">
        <v>-1381.2</v>
      </c>
      <c r="F198" s="5">
        <v>0</v>
      </c>
      <c r="G198" s="5">
        <v>-440</v>
      </c>
      <c r="H198" s="5">
        <v>750</v>
      </c>
      <c r="I198" s="5">
        <v>0</v>
      </c>
      <c r="J198" s="5">
        <v>79.774716120000008</v>
      </c>
      <c r="K198" s="5">
        <v>54017.259005681488</v>
      </c>
      <c r="L198" s="5">
        <v>0</v>
      </c>
      <c r="M198" s="5">
        <v>85.012575339999998</v>
      </c>
      <c r="N198" s="5">
        <v>-4534.1691471699996</v>
      </c>
      <c r="O198" s="5">
        <v>1932.7536107999999</v>
      </c>
      <c r="P198" s="5">
        <v>75</v>
      </c>
      <c r="Q198" s="5" t="s">
        <v>98</v>
      </c>
      <c r="R198" s="5">
        <v>-71.367245810000099</v>
      </c>
      <c r="S198" s="5">
        <v>0</v>
      </c>
      <c r="T198" s="5">
        <v>-9.4213493099999823</v>
      </c>
      <c r="U198" s="5">
        <v>-1119.30739726</v>
      </c>
      <c r="V198" s="5">
        <v>-3641.49895341</v>
      </c>
      <c r="W198" s="5">
        <v>50375.760052271486</v>
      </c>
      <c r="X198" s="5">
        <v>53892.95328113396</v>
      </c>
      <c r="Y198" s="5">
        <v>0</v>
      </c>
      <c r="Z198" s="5">
        <v>0</v>
      </c>
      <c r="AA198" s="5">
        <v>12293.881776290003</v>
      </c>
      <c r="AB198" s="5">
        <v>-530</v>
      </c>
      <c r="AC198" s="5">
        <v>75</v>
      </c>
      <c r="AD198" s="5" t="s">
        <v>98</v>
      </c>
      <c r="AE198" s="5">
        <v>-149.84228071000001</v>
      </c>
      <c r="AF198" s="5">
        <v>1662</v>
      </c>
      <c r="AG198" s="5">
        <v>38283</v>
      </c>
      <c r="AH198" s="5">
        <v>17781</v>
      </c>
      <c r="AI198" s="5">
        <v>69415.03949558</v>
      </c>
    </row>
    <row r="199" spans="1:36" x14ac:dyDescent="0.2">
      <c r="A199" s="75">
        <v>45322</v>
      </c>
      <c r="B199" s="5">
        <v>50375.806686470001</v>
      </c>
      <c r="C199" s="5">
        <v>-7024.8445088999979</v>
      </c>
      <c r="D199" s="5">
        <v>2051.0205534300003</v>
      </c>
      <c r="E199" s="5">
        <v>-1007</v>
      </c>
      <c r="F199" s="5">
        <v>0</v>
      </c>
      <c r="G199" s="5">
        <v>-645.24199999999996</v>
      </c>
      <c r="H199" s="5">
        <v>820</v>
      </c>
      <c r="I199" s="5">
        <v>0</v>
      </c>
      <c r="J199" s="5">
        <v>0.15153202999999998</v>
      </c>
      <c r="K199" s="5">
        <v>44569.892263030015</v>
      </c>
      <c r="L199" s="5">
        <v>0</v>
      </c>
      <c r="M199" s="5">
        <v>0</v>
      </c>
      <c r="N199" s="5">
        <v>4629.0705945399968</v>
      </c>
      <c r="O199" s="5">
        <v>-4229.7467474200002</v>
      </c>
      <c r="P199" s="5">
        <v>-75.059075350000001</v>
      </c>
      <c r="Q199" s="5" t="s">
        <v>98</v>
      </c>
      <c r="R199" s="5">
        <v>155.69288248000009</v>
      </c>
      <c r="S199" s="5">
        <v>0</v>
      </c>
      <c r="T199" s="5">
        <v>-36.008828759999915</v>
      </c>
      <c r="U199" s="5">
        <v>-108.20684932</v>
      </c>
      <c r="V199" s="5">
        <v>335.74197616999675</v>
      </c>
      <c r="W199" s="5">
        <v>44905.634239200015</v>
      </c>
      <c r="X199" s="5">
        <v>50084.073798658697</v>
      </c>
      <c r="Y199" s="5">
        <v>0</v>
      </c>
      <c r="Z199" s="5">
        <v>0</v>
      </c>
      <c r="AA199" s="5">
        <v>16976.208303119998</v>
      </c>
      <c r="AB199" s="5">
        <v>-4780</v>
      </c>
      <c r="AC199" s="5">
        <v>0</v>
      </c>
      <c r="AD199" s="5" t="s">
        <v>98</v>
      </c>
      <c r="AE199" s="5">
        <v>0</v>
      </c>
      <c r="AF199" s="5">
        <v>1627</v>
      </c>
      <c r="AG199" s="5">
        <v>37868</v>
      </c>
      <c r="AH199" s="5">
        <v>17681</v>
      </c>
      <c r="AI199" s="5">
        <v>69372.208303120002</v>
      </c>
    </row>
    <row r="200" spans="1:36" x14ac:dyDescent="0.2">
      <c r="A200" s="75">
        <v>45351</v>
      </c>
      <c r="B200" s="5">
        <v>44905.60796026</v>
      </c>
      <c r="C200" s="5">
        <v>1076.0817972799941</v>
      </c>
      <c r="D200" s="5">
        <v>1396.9034618300002</v>
      </c>
      <c r="E200" s="5">
        <v>-5454.51</v>
      </c>
      <c r="F200" s="5">
        <v>0</v>
      </c>
      <c r="G200" s="5">
        <v>-926.17700000000002</v>
      </c>
      <c r="H200" s="5">
        <v>1100</v>
      </c>
      <c r="I200" s="5">
        <v>0</v>
      </c>
      <c r="J200" s="5">
        <v>0.30378764000000003</v>
      </c>
      <c r="K200" s="5">
        <v>42098.210007009984</v>
      </c>
      <c r="L200" s="5">
        <v>0</v>
      </c>
      <c r="M200" s="5">
        <v>0</v>
      </c>
      <c r="N200" s="5">
        <v>-488.0657487799981</v>
      </c>
      <c r="O200" s="5">
        <v>179.07000696000068</v>
      </c>
      <c r="P200" s="5">
        <v>-1.8905900000003584E-3</v>
      </c>
      <c r="Q200" s="5" t="s">
        <v>98</v>
      </c>
      <c r="R200" s="5">
        <v>-119.36187854999991</v>
      </c>
      <c r="S200" s="5">
        <v>0</v>
      </c>
      <c r="T200" s="5">
        <v>-31.098321929999997</v>
      </c>
      <c r="U200" s="5">
        <v>0</v>
      </c>
      <c r="V200" s="5">
        <v>-459.45783288999735</v>
      </c>
      <c r="W200" s="5">
        <v>41638.752174119989</v>
      </c>
      <c r="X200" s="5">
        <v>45710.534633917625</v>
      </c>
      <c r="Y200" s="5">
        <v>0</v>
      </c>
      <c r="Z200" s="5">
        <v>0</v>
      </c>
      <c r="AA200" s="5">
        <v>16555.310166589999</v>
      </c>
      <c r="AB200" s="5">
        <v>-4620</v>
      </c>
      <c r="AC200" s="5">
        <v>0</v>
      </c>
      <c r="AD200" s="5" t="s">
        <v>98</v>
      </c>
      <c r="AE200" s="5">
        <v>-119.47703642</v>
      </c>
      <c r="AF200" s="5">
        <v>1596</v>
      </c>
      <c r="AG200" s="5">
        <v>37453</v>
      </c>
      <c r="AH200" s="5">
        <v>17681</v>
      </c>
      <c r="AI200" s="5">
        <v>68545.833130170009</v>
      </c>
    </row>
    <row r="201" spans="1:36" x14ac:dyDescent="0.2">
      <c r="A201" s="75">
        <v>45380</v>
      </c>
      <c r="B201" s="5">
        <v>41638.599113460004</v>
      </c>
      <c r="C201" s="5">
        <v>707.04415203999588</v>
      </c>
      <c r="D201" s="5">
        <v>2422.4911672200096</v>
      </c>
      <c r="E201" s="5">
        <v>-1747.44</v>
      </c>
      <c r="F201" s="5">
        <v>0</v>
      </c>
      <c r="G201" s="5">
        <v>-974.41099999999994</v>
      </c>
      <c r="H201" s="5">
        <v>500</v>
      </c>
      <c r="I201" s="5">
        <v>0</v>
      </c>
      <c r="J201" s="5">
        <v>0</v>
      </c>
      <c r="K201" s="5">
        <v>42546.283432720011</v>
      </c>
      <c r="L201" s="5">
        <v>0</v>
      </c>
      <c r="M201" s="5">
        <v>-119.97263014000001</v>
      </c>
      <c r="N201" s="5">
        <v>-2103.9083373699978</v>
      </c>
      <c r="O201" s="5">
        <v>4221.6805805599997</v>
      </c>
      <c r="P201" s="5">
        <v>0</v>
      </c>
      <c r="Q201" s="5" t="s">
        <v>98</v>
      </c>
      <c r="R201" s="5">
        <v>-465.76717446999965</v>
      </c>
      <c r="S201" s="5">
        <v>0</v>
      </c>
      <c r="T201" s="5">
        <v>-30.351993149999998</v>
      </c>
      <c r="U201" s="5">
        <v>-435.51438355999994</v>
      </c>
      <c r="V201" s="5">
        <v>1066.1660618700023</v>
      </c>
      <c r="W201" s="5">
        <v>43612.449494590015</v>
      </c>
      <c r="X201" s="5">
        <v>46685.107744113811</v>
      </c>
      <c r="Y201" s="5">
        <v>0</v>
      </c>
      <c r="Z201" s="5">
        <v>-120</v>
      </c>
      <c r="AA201" s="5">
        <v>14534.03241636</v>
      </c>
      <c r="AB201" s="5">
        <v>-400</v>
      </c>
      <c r="AC201" s="5">
        <v>0</v>
      </c>
      <c r="AD201" s="5" t="s">
        <v>98</v>
      </c>
      <c r="AE201" s="5">
        <v>-585.71284661000004</v>
      </c>
      <c r="AF201" s="5">
        <v>1566</v>
      </c>
      <c r="AG201" s="5">
        <v>37038</v>
      </c>
      <c r="AH201" s="5">
        <v>17281</v>
      </c>
      <c r="AI201" s="5">
        <v>69313.31956974999</v>
      </c>
    </row>
    <row r="202" spans="1:36" x14ac:dyDescent="0.2">
      <c r="A202" s="75">
        <v>45412</v>
      </c>
      <c r="B202" s="5">
        <v>43612.449494590015</v>
      </c>
      <c r="C202" s="5">
        <v>2385.2424580400047</v>
      </c>
      <c r="D202" s="5">
        <v>924.89643249000005</v>
      </c>
      <c r="E202" s="5">
        <v>-6403</v>
      </c>
      <c r="F202" s="5">
        <v>0</v>
      </c>
      <c r="G202" s="5">
        <v>-988</v>
      </c>
      <c r="H202" s="5">
        <v>845</v>
      </c>
      <c r="I202" s="5">
        <v>0</v>
      </c>
      <c r="J202" s="5">
        <v>-84.560774210000005</v>
      </c>
      <c r="K202" s="5">
        <v>40292.027610910023</v>
      </c>
      <c r="L202" s="5">
        <v>0</v>
      </c>
      <c r="M202" s="5">
        <v>120.08876712</v>
      </c>
      <c r="N202" s="5">
        <v>2839.1531141499945</v>
      </c>
      <c r="O202" s="5">
        <v>400</v>
      </c>
      <c r="P202" s="5">
        <v>0</v>
      </c>
      <c r="Q202" s="5" t="s">
        <v>98</v>
      </c>
      <c r="R202" s="5">
        <v>586.47481932000005</v>
      </c>
      <c r="S202" s="5">
        <v>0</v>
      </c>
      <c r="T202" s="5">
        <v>-36.110712319999948</v>
      </c>
      <c r="U202" s="5">
        <v>-1213.6321917700002</v>
      </c>
      <c r="V202" s="5">
        <v>2695.9737964999945</v>
      </c>
      <c r="W202" s="5">
        <v>42988.001407410018</v>
      </c>
      <c r="X202" s="5">
        <v>44896.547835539553</v>
      </c>
      <c r="Y202" s="5">
        <v>0</v>
      </c>
      <c r="Z202" s="5">
        <v>0</v>
      </c>
      <c r="AA202" s="5">
        <v>17428.887286429999</v>
      </c>
      <c r="AB202" s="5">
        <v>0</v>
      </c>
      <c r="AC202" s="5">
        <v>0</v>
      </c>
      <c r="AD202" s="5" t="s">
        <v>98</v>
      </c>
      <c r="AE202" s="5">
        <v>0</v>
      </c>
      <c r="AF202" s="5">
        <v>1530</v>
      </c>
      <c r="AG202" s="5">
        <v>36403</v>
      </c>
      <c r="AH202" s="5">
        <v>16169</v>
      </c>
      <c r="AI202" s="5">
        <v>71530.887286429992</v>
      </c>
    </row>
    <row r="203" spans="1:36" x14ac:dyDescent="0.2">
      <c r="A203" s="75">
        <v>45443</v>
      </c>
      <c r="B203" s="5">
        <v>42987.963383410002</v>
      </c>
      <c r="C203" s="5">
        <v>-804.32295957999713</v>
      </c>
      <c r="D203" s="5">
        <v>-791.15388737000012</v>
      </c>
      <c r="E203" s="5">
        <v>-1799.3333636699999</v>
      </c>
      <c r="F203" s="5">
        <v>7391</v>
      </c>
      <c r="G203" s="5">
        <v>-1188.6292707399998</v>
      </c>
      <c r="H203" s="5">
        <v>1100</v>
      </c>
      <c r="I203" s="5">
        <v>0</v>
      </c>
      <c r="J203" s="5">
        <v>0.28067760000000391</v>
      </c>
      <c r="K203" s="5">
        <v>46895.804579650008</v>
      </c>
      <c r="L203" s="5">
        <v>0</v>
      </c>
      <c r="M203" s="5">
        <v>0</v>
      </c>
      <c r="N203" s="5">
        <v>-2855.4343245499986</v>
      </c>
      <c r="O203" s="5">
        <v>0</v>
      </c>
      <c r="P203" s="5">
        <v>74.99842452</v>
      </c>
      <c r="Q203" s="5" t="s">
        <v>98</v>
      </c>
      <c r="R203" s="5">
        <v>-55.874478240000371</v>
      </c>
      <c r="S203" s="5">
        <v>0</v>
      </c>
      <c r="T203" s="5">
        <v>-35.034787689999916</v>
      </c>
      <c r="U203" s="5">
        <v>-223.75884932</v>
      </c>
      <c r="V203" s="5">
        <v>-3095.1040152799992</v>
      </c>
      <c r="W203" s="5">
        <v>43800.70056437001</v>
      </c>
      <c r="X203" s="5">
        <v>42530.687597685654</v>
      </c>
      <c r="Y203" s="5">
        <v>0</v>
      </c>
      <c r="Z203" s="5">
        <v>0</v>
      </c>
      <c r="AA203" s="5">
        <v>14659.468772360005</v>
      </c>
      <c r="AB203" s="5">
        <v>0</v>
      </c>
      <c r="AC203" s="5">
        <v>75</v>
      </c>
      <c r="AD203" s="5" t="s">
        <v>98</v>
      </c>
      <c r="AE203" s="5">
        <v>-56.974702119999996</v>
      </c>
      <c r="AF203" s="5">
        <v>1496</v>
      </c>
      <c r="AG203" s="5">
        <v>30858</v>
      </c>
      <c r="AH203" s="5">
        <v>15965</v>
      </c>
      <c r="AI203" s="5">
        <v>62996.494070240005</v>
      </c>
    </row>
    <row r="204" spans="1:36" x14ac:dyDescent="0.2">
      <c r="A204" s="75">
        <v>45470</v>
      </c>
      <c r="B204" s="5">
        <v>43801.07341587</v>
      </c>
      <c r="C204" s="5">
        <v>-2381.9869815400007</v>
      </c>
      <c r="D204" s="5">
        <v>-60.898382550000065</v>
      </c>
      <c r="E204" s="5">
        <v>-4285.6273058099996</v>
      </c>
      <c r="F204" s="5">
        <v>0</v>
      </c>
      <c r="G204" s="5">
        <v>-969</v>
      </c>
      <c r="H204" s="5">
        <v>500</v>
      </c>
      <c r="I204" s="5">
        <v>0</v>
      </c>
      <c r="J204" s="5">
        <v>0.10218693000000001</v>
      </c>
      <c r="K204" s="5">
        <v>36603.662932899999</v>
      </c>
      <c r="L204" s="5">
        <v>0</v>
      </c>
      <c r="M204" s="5">
        <v>0</v>
      </c>
      <c r="N204" s="5">
        <v>1052.3784226900098</v>
      </c>
      <c r="O204" s="5">
        <v>0</v>
      </c>
      <c r="P204" s="5">
        <v>-75.04804815</v>
      </c>
      <c r="Q204" s="5" t="s">
        <v>98</v>
      </c>
      <c r="R204" s="5">
        <v>57.240798219999988</v>
      </c>
      <c r="S204" s="5">
        <v>0</v>
      </c>
      <c r="T204" s="5">
        <v>-43.383767120000016</v>
      </c>
      <c r="U204" s="5">
        <v>0</v>
      </c>
      <c r="V204" s="5">
        <v>991.18740564000962</v>
      </c>
      <c r="W204" s="5">
        <v>37594.850338540011</v>
      </c>
      <c r="X204" s="5">
        <v>42075.852695153502</v>
      </c>
      <c r="Y204" s="5">
        <v>0</v>
      </c>
      <c r="Z204" s="5">
        <v>0</v>
      </c>
      <c r="AA204" s="5">
        <v>15795.916017879999</v>
      </c>
      <c r="AB204" s="5">
        <v>0</v>
      </c>
      <c r="AC204" s="5">
        <v>0</v>
      </c>
      <c r="AD204" s="5" t="s">
        <v>98</v>
      </c>
      <c r="AE204" s="5">
        <v>0</v>
      </c>
      <c r="AF204" s="5">
        <v>1453</v>
      </c>
      <c r="AG204" s="5">
        <v>30423</v>
      </c>
      <c r="AH204" s="5">
        <v>15965</v>
      </c>
      <c r="AI204" s="5">
        <v>63636.916017880001</v>
      </c>
    </row>
    <row r="205" spans="1:36" x14ac:dyDescent="0.2">
      <c r="A205" s="75">
        <v>45504</v>
      </c>
      <c r="B205" s="5">
        <v>37594.637382840003</v>
      </c>
      <c r="C205" s="5">
        <v>3336.5729775099981</v>
      </c>
      <c r="D205" s="5">
        <v>786.36572289998185</v>
      </c>
      <c r="E205" s="5">
        <v>-2370.19</v>
      </c>
      <c r="F205" s="5">
        <v>0</v>
      </c>
      <c r="G205" s="5">
        <v>-1121.2032788500001</v>
      </c>
      <c r="H205" s="5">
        <v>1080</v>
      </c>
      <c r="I205" s="5">
        <v>0</v>
      </c>
      <c r="J205" s="5">
        <v>2.6171523799999998</v>
      </c>
      <c r="K205" s="5">
        <v>39308.799956779978</v>
      </c>
      <c r="L205" s="5">
        <v>0</v>
      </c>
      <c r="M205" s="5">
        <v>0</v>
      </c>
      <c r="N205" s="5">
        <v>2237.5802873300127</v>
      </c>
      <c r="O205" s="5">
        <v>0</v>
      </c>
      <c r="P205" s="5">
        <v>0</v>
      </c>
      <c r="Q205" s="5" t="s">
        <v>98</v>
      </c>
      <c r="R205" s="5">
        <v>6.6778080000005957E-2</v>
      </c>
      <c r="S205" s="5">
        <v>0</v>
      </c>
      <c r="T205" s="5">
        <v>-32.406287669999983</v>
      </c>
      <c r="U205" s="5">
        <v>-675.17852739</v>
      </c>
      <c r="V205" s="5">
        <v>1530.0622503500126</v>
      </c>
      <c r="W205" s="5">
        <v>40838.862207129991</v>
      </c>
      <c r="X205" s="5">
        <v>43185.5598626887</v>
      </c>
      <c r="Y205" s="5">
        <v>0</v>
      </c>
      <c r="Z205" s="5">
        <v>0</v>
      </c>
      <c r="AA205" s="5">
        <v>18091.965348779995</v>
      </c>
      <c r="AB205" s="5">
        <v>0</v>
      </c>
      <c r="AC205" s="5">
        <v>0</v>
      </c>
      <c r="AD205" s="5" t="s">
        <v>98</v>
      </c>
      <c r="AE205" s="5">
        <v>0</v>
      </c>
      <c r="AF205" s="5">
        <v>1421</v>
      </c>
      <c r="AG205" s="5">
        <v>30008</v>
      </c>
      <c r="AH205" s="5">
        <v>15354</v>
      </c>
      <c r="AI205" s="5">
        <v>64874.965348779995</v>
      </c>
    </row>
    <row r="206" spans="1:36" x14ac:dyDescent="0.2">
      <c r="A206" s="75">
        <v>45534</v>
      </c>
      <c r="B206" s="5">
        <v>40838.862207129991</v>
      </c>
      <c r="C206" s="5">
        <v>10.777717389998543</v>
      </c>
      <c r="D206" s="5">
        <v>965.83020113001635</v>
      </c>
      <c r="E206" s="5">
        <v>-7511.1691229999997</v>
      </c>
      <c r="F206" s="5">
        <v>0</v>
      </c>
      <c r="G206" s="5">
        <v>-831.52722399000004</v>
      </c>
      <c r="H206" s="5">
        <v>1000</v>
      </c>
      <c r="I206" s="5">
        <v>0</v>
      </c>
      <c r="J206" s="5">
        <v>9.2974569599999981</v>
      </c>
      <c r="K206" s="5">
        <v>34482.071235620002</v>
      </c>
      <c r="L206" s="5">
        <v>0</v>
      </c>
      <c r="M206" s="5">
        <v>0</v>
      </c>
      <c r="N206" s="5">
        <v>-899.84254078999948</v>
      </c>
      <c r="O206" s="5">
        <v>0</v>
      </c>
      <c r="P206" s="5">
        <v>-1.3562199999981317E-3</v>
      </c>
      <c r="Q206" s="5" t="s">
        <v>98</v>
      </c>
      <c r="R206" s="5">
        <v>-7.9592743000001178</v>
      </c>
      <c r="S206" s="5">
        <v>0</v>
      </c>
      <c r="T206" s="5">
        <v>-34.096294520000015</v>
      </c>
      <c r="U206" s="5">
        <v>-2266.9213698599997</v>
      </c>
      <c r="V206" s="5">
        <v>-3208.8208356899995</v>
      </c>
      <c r="W206" s="5">
        <v>31273.250399930002</v>
      </c>
      <c r="X206" s="5">
        <v>43134.857452471399</v>
      </c>
      <c r="Y206" s="5">
        <v>0</v>
      </c>
      <c r="Z206" s="5">
        <v>0</v>
      </c>
      <c r="AA206" s="5">
        <v>17280.704822399999</v>
      </c>
      <c r="AB206" s="5">
        <v>0</v>
      </c>
      <c r="AC206" s="5">
        <v>0</v>
      </c>
      <c r="AD206" s="5" t="s">
        <v>98</v>
      </c>
      <c r="AE206" s="5">
        <v>-8.0358443299999998</v>
      </c>
      <c r="AF206" s="5">
        <v>1387</v>
      </c>
      <c r="AG206" s="5">
        <v>29593</v>
      </c>
      <c r="AH206" s="5">
        <v>13314</v>
      </c>
      <c r="AI206" s="5">
        <v>61566.668978069996</v>
      </c>
    </row>
    <row r="207" spans="1:36" x14ac:dyDescent="0.2">
      <c r="A207" s="75">
        <v>45565</v>
      </c>
      <c r="B207" s="5">
        <v>31273.250399930002</v>
      </c>
      <c r="C207" s="5">
        <v>5104.970916299997</v>
      </c>
      <c r="D207" s="5">
        <v>23.010893885005657</v>
      </c>
      <c r="E207" s="5">
        <v>-2018.4788414449999</v>
      </c>
      <c r="F207" s="5">
        <v>0</v>
      </c>
      <c r="G207" s="5">
        <v>-761.36215897</v>
      </c>
      <c r="H207" s="5">
        <v>1000</v>
      </c>
      <c r="I207" s="5">
        <v>0</v>
      </c>
      <c r="J207" s="5">
        <v>79.56715466</v>
      </c>
      <c r="K207" s="5">
        <v>34700.958364360005</v>
      </c>
      <c r="L207" s="5">
        <v>1149.8054520599999</v>
      </c>
      <c r="M207" s="5">
        <v>-1059.99294521</v>
      </c>
      <c r="N207" s="5">
        <v>-996.52311345000635</v>
      </c>
      <c r="O207" s="5">
        <v>-547.04128038999988</v>
      </c>
      <c r="P207" s="5">
        <v>0</v>
      </c>
      <c r="Q207" s="5" t="s">
        <v>98</v>
      </c>
      <c r="R207" s="5">
        <v>8.0572226700000158</v>
      </c>
      <c r="S207" s="5">
        <v>0</v>
      </c>
      <c r="T207" s="5">
        <v>-39.072897269999999</v>
      </c>
      <c r="U207" s="5">
        <v>-334.36712327999999</v>
      </c>
      <c r="V207" s="5">
        <v>-1819.1346848700061</v>
      </c>
      <c r="W207" s="5">
        <v>32881.82367949</v>
      </c>
      <c r="X207" s="5">
        <v>35869.125237172397</v>
      </c>
      <c r="Y207" s="5">
        <v>1150</v>
      </c>
      <c r="Z207" s="5">
        <v>-1060</v>
      </c>
      <c r="AA207" s="5">
        <v>16374.546975890009</v>
      </c>
      <c r="AB207" s="5">
        <v>-550</v>
      </c>
      <c r="AC207" s="5">
        <v>0</v>
      </c>
      <c r="AD207" s="5" t="s">
        <v>98</v>
      </c>
      <c r="AE207" s="5">
        <v>0</v>
      </c>
      <c r="AF207" s="5">
        <v>1348</v>
      </c>
      <c r="AG207" s="5">
        <v>29178</v>
      </c>
      <c r="AH207" s="5">
        <v>13014</v>
      </c>
      <c r="AI207" s="5">
        <v>59454.54697589</v>
      </c>
    </row>
    <row r="208" spans="1:36" x14ac:dyDescent="0.2">
      <c r="A208" s="75">
        <v>45596</v>
      </c>
      <c r="B208" s="5">
        <v>32881.82367949</v>
      </c>
      <c r="C208" s="5">
        <v>3236.3716998499976</v>
      </c>
      <c r="D208" s="5">
        <v>1697.5431282300301</v>
      </c>
      <c r="E208" s="5">
        <v>-7111.60588628</v>
      </c>
      <c r="F208" s="5">
        <v>0</v>
      </c>
      <c r="G208" s="5">
        <v>-748.91974912000001</v>
      </c>
      <c r="H208" s="5">
        <v>960</v>
      </c>
      <c r="I208" s="5">
        <v>0</v>
      </c>
      <c r="J208" s="5">
        <v>0.7</v>
      </c>
      <c r="K208" s="5">
        <v>30915.91287217</v>
      </c>
      <c r="L208" s="5">
        <v>482.34738357000015</v>
      </c>
      <c r="M208" s="5">
        <v>1060.1495616499999</v>
      </c>
      <c r="N208" s="5">
        <v>4218.5104758499656</v>
      </c>
      <c r="O208" s="5">
        <v>-144.23518103000015</v>
      </c>
      <c r="P208" s="5">
        <v>0</v>
      </c>
      <c r="Q208" s="5" t="s">
        <v>98</v>
      </c>
      <c r="R208" s="5">
        <v>-15.49860830999998</v>
      </c>
      <c r="S208" s="5">
        <v>0</v>
      </c>
      <c r="T208" s="5">
        <v>-33.062904110000034</v>
      </c>
      <c r="U208" s="5">
        <v>0</v>
      </c>
      <c r="V208" s="5">
        <v>5568.2107276199649</v>
      </c>
      <c r="W208" s="5">
        <v>36484.12359979</v>
      </c>
      <c r="X208" s="5">
        <v>38282.491950483098</v>
      </c>
      <c r="Y208" s="5">
        <v>1633.9999999900001</v>
      </c>
      <c r="Z208" s="5">
        <v>0</v>
      </c>
      <c r="AA208" s="5">
        <v>20655.260373799985</v>
      </c>
      <c r="AB208" s="5">
        <v>-700</v>
      </c>
      <c r="AC208" s="5">
        <v>0</v>
      </c>
      <c r="AD208" s="5" t="s">
        <v>98</v>
      </c>
      <c r="AE208" s="5">
        <v>-15.55025013</v>
      </c>
      <c r="AF208" s="5">
        <v>1315</v>
      </c>
      <c r="AG208" s="5">
        <v>28763</v>
      </c>
      <c r="AH208" s="5">
        <v>13014</v>
      </c>
      <c r="AI208" s="5">
        <v>64665.710123659999</v>
      </c>
    </row>
    <row r="209" spans="1:35" x14ac:dyDescent="0.2">
      <c r="A209" s="75">
        <v>45625</v>
      </c>
      <c r="B209" s="5">
        <v>36484.12359979</v>
      </c>
      <c r="C209" s="5">
        <v>2994.0226680199994</v>
      </c>
      <c r="D209" s="5">
        <v>1070.6476580349899</v>
      </c>
      <c r="E209" s="5">
        <v>-1884.3999437300001</v>
      </c>
      <c r="F209" s="5">
        <v>0</v>
      </c>
      <c r="G209" s="5">
        <v>-971.22309978499993</v>
      </c>
      <c r="H209" s="5">
        <v>1150</v>
      </c>
      <c r="I209" s="5">
        <v>0</v>
      </c>
      <c r="J209" s="5">
        <v>-80.945998320000001</v>
      </c>
      <c r="K209" s="5">
        <v>38762.22488401</v>
      </c>
      <c r="L209" s="5">
        <v>-1635.1918928499999</v>
      </c>
      <c r="M209" s="5">
        <v>0</v>
      </c>
      <c r="N209" s="5">
        <v>704.89184545000899</v>
      </c>
      <c r="O209" s="5">
        <v>700</v>
      </c>
      <c r="P209" s="5">
        <v>-10.037034860000063</v>
      </c>
      <c r="Q209" s="5" t="s">
        <v>98</v>
      </c>
      <c r="R209" s="5">
        <v>-41.050992909999991</v>
      </c>
      <c r="S209" s="5">
        <v>0</v>
      </c>
      <c r="T209" s="5">
        <v>-33.758239739999908</v>
      </c>
      <c r="U209" s="5">
        <v>0</v>
      </c>
      <c r="V209" s="5">
        <v>-315.14631490999091</v>
      </c>
      <c r="W209" s="5">
        <v>38447.078569099998</v>
      </c>
      <c r="X209" s="5">
        <v>39140.439292051902</v>
      </c>
      <c r="Y209" s="5">
        <v>0</v>
      </c>
      <c r="Z209" s="5">
        <v>0</v>
      </c>
      <c r="AA209" s="5">
        <v>21443.173797129992</v>
      </c>
      <c r="AB209" s="5">
        <v>0</v>
      </c>
      <c r="AC209" s="5">
        <v>0</v>
      </c>
      <c r="AD209" s="5" t="s">
        <v>98</v>
      </c>
      <c r="AE209" s="5">
        <v>-56.621034350000002</v>
      </c>
      <c r="AF209" s="5">
        <v>1282</v>
      </c>
      <c r="AG209" s="5">
        <v>28348</v>
      </c>
      <c r="AH209" s="5">
        <v>13014</v>
      </c>
      <c r="AI209" s="5">
        <v>64030.552762779997</v>
      </c>
    </row>
    <row r="210" spans="1:35" x14ac:dyDescent="0.2">
      <c r="A210" s="75">
        <v>45657</v>
      </c>
      <c r="B210" s="5">
        <v>38447.078569099998</v>
      </c>
      <c r="C210" s="5">
        <v>3185.5989664500003</v>
      </c>
      <c r="D210" s="5">
        <v>723.09066747000202</v>
      </c>
      <c r="E210" s="5">
        <v>-1140.38717376</v>
      </c>
      <c r="F210" s="5">
        <v>0</v>
      </c>
      <c r="G210" s="5">
        <v>-475.68388028000004</v>
      </c>
      <c r="H210" s="5">
        <v>895</v>
      </c>
      <c r="I210" s="5">
        <v>0</v>
      </c>
      <c r="J210" s="5">
        <v>-172.87006313000001</v>
      </c>
      <c r="K210" s="5">
        <v>41461.827085849996</v>
      </c>
      <c r="L210" s="5">
        <v>0</v>
      </c>
      <c r="M210" s="5">
        <v>0</v>
      </c>
      <c r="N210" s="5">
        <v>-2648.9220965200002</v>
      </c>
      <c r="O210" s="5">
        <v>0</v>
      </c>
      <c r="P210" s="5">
        <v>200.00000000000003</v>
      </c>
      <c r="Q210" s="5" t="s">
        <v>98</v>
      </c>
      <c r="R210" s="5">
        <v>56.671586049999917</v>
      </c>
      <c r="S210" s="5">
        <v>0</v>
      </c>
      <c r="T210" s="5">
        <v>-38.122157529999981</v>
      </c>
      <c r="U210" s="5">
        <v>-814.72775342</v>
      </c>
      <c r="V210" s="5">
        <v>-3245.1004214200002</v>
      </c>
      <c r="W210" s="5">
        <v>38216.726664430003</v>
      </c>
      <c r="X210" s="5">
        <v>40034.950162479101</v>
      </c>
      <c r="Y210" s="5">
        <v>0</v>
      </c>
      <c r="Z210" s="5">
        <v>0</v>
      </c>
      <c r="AA210" s="5">
        <v>18902.268901340001</v>
      </c>
      <c r="AB210" s="5">
        <v>0</v>
      </c>
      <c r="AC210" s="5">
        <v>200</v>
      </c>
      <c r="AD210" s="5" t="s">
        <v>98</v>
      </c>
      <c r="AE210" s="5">
        <v>0</v>
      </c>
      <c r="AF210" s="5">
        <v>1244</v>
      </c>
      <c r="AG210" s="5">
        <v>27933</v>
      </c>
      <c r="AH210" s="5">
        <v>12290</v>
      </c>
      <c r="AI210" s="5">
        <v>60569.268901340001</v>
      </c>
    </row>
    <row r="211" spans="1:35" x14ac:dyDescent="0.2">
      <c r="A211" s="75">
        <v>45688</v>
      </c>
      <c r="B211" s="5">
        <v>38216.726664430003</v>
      </c>
      <c r="C211" s="5">
        <v>-6900.06013781</v>
      </c>
      <c r="D211" s="5">
        <v>431.46202441000685</v>
      </c>
      <c r="E211" s="5">
        <v>-814.59662204999995</v>
      </c>
      <c r="F211" s="5">
        <v>0</v>
      </c>
      <c r="G211" s="5">
        <v>-465.02201043000002</v>
      </c>
      <c r="H211" s="5">
        <v>985</v>
      </c>
      <c r="I211" s="5">
        <v>0</v>
      </c>
      <c r="J211" s="5">
        <v>4.3</v>
      </c>
      <c r="K211" s="5">
        <v>31457.80991855001</v>
      </c>
      <c r="L211" s="5">
        <v>0</v>
      </c>
      <c r="M211" s="5">
        <v>0</v>
      </c>
      <c r="N211" s="5">
        <v>6031.4474688299961</v>
      </c>
      <c r="O211" s="5">
        <v>0</v>
      </c>
      <c r="P211" s="5">
        <v>-200.07397260000002</v>
      </c>
      <c r="Q211" s="5" t="s">
        <v>98</v>
      </c>
      <c r="R211" s="5">
        <v>-4.0357640999999944</v>
      </c>
      <c r="S211" s="5">
        <v>0</v>
      </c>
      <c r="T211" s="5">
        <v>-44.141849299999876</v>
      </c>
      <c r="U211" s="5">
        <v>-1128.8630136900001</v>
      </c>
      <c r="V211" s="5">
        <v>4654.3328691399956</v>
      </c>
      <c r="W211" s="5">
        <v>36112.142787690005</v>
      </c>
      <c r="X211" s="5">
        <v>39111.659124703801</v>
      </c>
      <c r="Y211" s="5">
        <v>0</v>
      </c>
      <c r="Z211" s="5">
        <v>0</v>
      </c>
      <c r="AA211" s="5">
        <v>24702.087364140003</v>
      </c>
      <c r="AB211" s="5">
        <v>0</v>
      </c>
      <c r="AC211" s="5">
        <v>0</v>
      </c>
      <c r="AD211" s="5" t="s">
        <v>98</v>
      </c>
      <c r="AE211" s="5">
        <v>-4.0635414399999998</v>
      </c>
      <c r="AF211" s="5">
        <v>1200</v>
      </c>
      <c r="AG211" s="5">
        <v>27518</v>
      </c>
      <c r="AH211" s="5">
        <v>11290</v>
      </c>
      <c r="AI211" s="5">
        <v>64706.023822700008</v>
      </c>
    </row>
    <row r="212" spans="1:35" x14ac:dyDescent="0.2">
      <c r="A212" s="75">
        <v>45716</v>
      </c>
      <c r="B212" s="5">
        <v>36112.142787690005</v>
      </c>
      <c r="C212" s="5">
        <v>2544.9467065800009</v>
      </c>
      <c r="D212" s="5">
        <v>71.407639809999907</v>
      </c>
      <c r="E212" s="5">
        <v>-6916.0474270000004</v>
      </c>
      <c r="F212" s="5">
        <v>0</v>
      </c>
      <c r="G212" s="5">
        <v>-983.85070674000008</v>
      </c>
      <c r="H212" s="5">
        <v>850</v>
      </c>
      <c r="I212" s="5">
        <v>0</v>
      </c>
      <c r="J212" s="5">
        <v>132.22023109</v>
      </c>
      <c r="K212" s="5">
        <v>31810.819231429999</v>
      </c>
      <c r="L212" s="5">
        <v>0</v>
      </c>
      <c r="M212" s="5">
        <v>0</v>
      </c>
      <c r="N212" s="5">
        <v>758.19071847000214</v>
      </c>
      <c r="O212" s="5">
        <v>0</v>
      </c>
      <c r="P212" s="5">
        <v>-2.4658200000011732E-3</v>
      </c>
      <c r="Q212" s="5" t="s">
        <v>98</v>
      </c>
      <c r="R212" s="5">
        <v>-3.8824605199997677</v>
      </c>
      <c r="S212" s="5">
        <v>0</v>
      </c>
      <c r="T212" s="5">
        <v>-36.098582190000002</v>
      </c>
      <c r="U212" s="5">
        <v>-566.06849314999999</v>
      </c>
      <c r="V212" s="5">
        <v>152.13871679000238</v>
      </c>
      <c r="W212" s="5">
        <v>31962.957948219999</v>
      </c>
      <c r="X212" s="5">
        <v>38328.484066087003</v>
      </c>
      <c r="Y212" s="5">
        <v>0</v>
      </c>
      <c r="Z212" s="5">
        <v>0</v>
      </c>
      <c r="AA212" s="5">
        <v>25852</v>
      </c>
      <c r="AB212" s="5">
        <v>0</v>
      </c>
      <c r="AC212" s="5">
        <v>0</v>
      </c>
      <c r="AD212" s="5" t="s">
        <v>98</v>
      </c>
      <c r="AE212" s="5">
        <v>-8.1029805800000005</v>
      </c>
      <c r="AF212" s="5">
        <v>1164</v>
      </c>
      <c r="AG212" s="5">
        <v>27103</v>
      </c>
      <c r="AH212" s="5">
        <v>10790</v>
      </c>
      <c r="AI212" s="5">
        <v>64900.897019420001</v>
      </c>
    </row>
    <row r="213" spans="1:35" x14ac:dyDescent="0.2">
      <c r="A213" s="75">
        <v>45747</v>
      </c>
      <c r="B213" s="5">
        <v>31962.957948220002</v>
      </c>
      <c r="C213" s="5">
        <v>3820.0219665499972</v>
      </c>
      <c r="D213" s="5">
        <v>46</v>
      </c>
      <c r="E213" s="5">
        <v>-2036.1354787999999</v>
      </c>
      <c r="F213" s="5">
        <v>0</v>
      </c>
      <c r="G213" s="5">
        <v>-935.7003036000001</v>
      </c>
      <c r="H213" s="5">
        <v>750</v>
      </c>
      <c r="I213" s="5">
        <v>0</v>
      </c>
      <c r="J213" s="5">
        <v>126.810169</v>
      </c>
      <c r="K213" s="5">
        <v>33733.749018839997</v>
      </c>
      <c r="L213" s="5">
        <v>0</v>
      </c>
      <c r="M213" s="5">
        <v>0</v>
      </c>
      <c r="N213" s="5">
        <v>824.44219312999849</v>
      </c>
      <c r="O213" s="5">
        <v>0</v>
      </c>
      <c r="P213" s="5">
        <v>-1.0959000000010377E-4</v>
      </c>
      <c r="Q213" s="5" t="s">
        <v>98</v>
      </c>
      <c r="R213" s="5">
        <v>8.121208210000006</v>
      </c>
      <c r="S213" s="5">
        <v>0</v>
      </c>
      <c r="T213" s="5">
        <v>-29.377979449999884</v>
      </c>
      <c r="U213" s="5">
        <v>-1688.2690410999999</v>
      </c>
      <c r="V213" s="5">
        <v>-885.08372880000127</v>
      </c>
      <c r="W213" s="5">
        <v>32848.66529004</v>
      </c>
      <c r="X213" s="5">
        <v>34920</v>
      </c>
      <c r="Y213" s="5">
        <v>0</v>
      </c>
      <c r="Z213" s="5">
        <v>0</v>
      </c>
      <c r="AA213" s="5">
        <v>26662</v>
      </c>
      <c r="AB213" s="5">
        <v>0</v>
      </c>
      <c r="AC213" s="5">
        <v>0</v>
      </c>
      <c r="AD213" s="5" t="s">
        <v>98</v>
      </c>
      <c r="AE213" s="5">
        <v>0</v>
      </c>
      <c r="AF213" s="5">
        <v>1135</v>
      </c>
      <c r="AG213" s="5">
        <v>26688</v>
      </c>
      <c r="AH213" s="5">
        <v>9300</v>
      </c>
      <c r="AI213" s="5">
        <v>63785</v>
      </c>
    </row>
    <row r="214" spans="1:35" x14ac:dyDescent="0.2">
      <c r="A214" s="75">
        <v>45777</v>
      </c>
      <c r="B214" s="5">
        <v>32848.665290039993</v>
      </c>
      <c r="C214" s="5">
        <v>5033.9820764600008</v>
      </c>
      <c r="D214" s="5">
        <v>-2582.54383908</v>
      </c>
      <c r="E214" s="5">
        <v>-5524.809231629999</v>
      </c>
      <c r="F214" s="5">
        <v>6942</v>
      </c>
      <c r="G214" s="5">
        <v>-973.41960685000004</v>
      </c>
      <c r="H214" s="5">
        <v>480</v>
      </c>
      <c r="I214" s="5">
        <v>0</v>
      </c>
      <c r="J214" s="5">
        <v>-10.88528259000006</v>
      </c>
      <c r="K214" s="5">
        <v>36212.989406349989</v>
      </c>
      <c r="L214" s="5">
        <v>0</v>
      </c>
      <c r="M214" s="5">
        <v>0</v>
      </c>
      <c r="N214" s="5">
        <v>-563.28791760999593</v>
      </c>
      <c r="O214" s="5">
        <v>0</v>
      </c>
      <c r="P214" s="5">
        <v>-0.16609590999996726</v>
      </c>
      <c r="Q214" s="5" t="s">
        <v>98</v>
      </c>
      <c r="R214" s="5">
        <v>3.8743749999980537E-2</v>
      </c>
      <c r="S214" s="5">
        <v>0</v>
      </c>
      <c r="T214" s="5">
        <v>-41.110835619999989</v>
      </c>
      <c r="U214" s="5">
        <v>-105.68372601999999</v>
      </c>
      <c r="V214" s="5">
        <v>-710.2098314099959</v>
      </c>
      <c r="W214" s="5">
        <v>35502.779574939996</v>
      </c>
      <c r="X214" s="5">
        <v>36518</v>
      </c>
      <c r="Y214" s="5">
        <v>0</v>
      </c>
      <c r="Z214" s="5">
        <v>0</v>
      </c>
      <c r="AA214" s="5">
        <v>26276.50359986</v>
      </c>
      <c r="AB214" s="5">
        <v>0</v>
      </c>
      <c r="AC214" s="5">
        <v>0</v>
      </c>
      <c r="AD214" s="5" t="s">
        <v>98</v>
      </c>
      <c r="AE214" s="5">
        <v>0</v>
      </c>
      <c r="AF214" s="5">
        <v>1094</v>
      </c>
      <c r="AG214" s="5">
        <v>19728</v>
      </c>
      <c r="AH214" s="5">
        <v>9207</v>
      </c>
      <c r="AI214" s="5">
        <v>56305.50359986</v>
      </c>
    </row>
    <row r="215" spans="1:35" x14ac:dyDescent="0.2">
      <c r="A215" s="75">
        <v>45807</v>
      </c>
      <c r="B215" s="5">
        <v>35502.782992929991</v>
      </c>
      <c r="C215" s="5">
        <v>-1244.8771123600002</v>
      </c>
      <c r="D215" s="5">
        <v>878.71391230999973</v>
      </c>
      <c r="E215" s="5">
        <v>-1788.59729728</v>
      </c>
      <c r="F215" s="5">
        <v>0</v>
      </c>
      <c r="G215" s="5">
        <v>-888.23904198000002</v>
      </c>
      <c r="H215" s="5">
        <v>1000</v>
      </c>
      <c r="I215" s="5">
        <v>0</v>
      </c>
      <c r="J215" s="5">
        <v>0.18862699999999999</v>
      </c>
      <c r="K215" s="5">
        <v>33459.972080619991</v>
      </c>
      <c r="L215" s="5">
        <v>0</v>
      </c>
      <c r="M215" s="5">
        <v>0</v>
      </c>
      <c r="N215" s="5">
        <v>1311.9594308200003</v>
      </c>
      <c r="O215" s="5">
        <v>0</v>
      </c>
      <c r="P215" s="5">
        <v>0</v>
      </c>
      <c r="Q215" s="5" t="s">
        <v>98</v>
      </c>
      <c r="R215" s="5">
        <v>2.8330700000026354E-2</v>
      </c>
      <c r="S215" s="5">
        <v>0</v>
      </c>
      <c r="T215" s="5">
        <v>-33.012520539999969</v>
      </c>
      <c r="U215" s="5">
        <v>-808.81047945</v>
      </c>
      <c r="V215" s="5">
        <v>470.16476153000031</v>
      </c>
      <c r="W215" s="5">
        <v>33930.136842149994</v>
      </c>
      <c r="X215" s="5">
        <v>34926</v>
      </c>
      <c r="Y215" s="5">
        <v>0</v>
      </c>
      <c r="Z215" s="5">
        <v>0</v>
      </c>
      <c r="AA215" s="5">
        <v>27687</v>
      </c>
      <c r="AB215" s="5">
        <v>0</v>
      </c>
      <c r="AC215" s="5">
        <v>0</v>
      </c>
      <c r="AD215" s="5" t="s">
        <v>98</v>
      </c>
      <c r="AE215" s="5">
        <v>0</v>
      </c>
      <c r="AF215" s="5">
        <v>1062</v>
      </c>
      <c r="AG215" s="5">
        <v>19313</v>
      </c>
      <c r="AH215" s="5">
        <v>8496</v>
      </c>
      <c r="AI215" s="5">
        <v>56558</v>
      </c>
    </row>
    <row r="216" spans="1:35" x14ac:dyDescent="0.2">
      <c r="A216" s="75">
        <v>45838</v>
      </c>
      <c r="B216" s="5">
        <v>33930.484134029997</v>
      </c>
      <c r="C216" s="5">
        <v>3861.08085669</v>
      </c>
      <c r="D216" s="5">
        <v>-29.614055780002673</v>
      </c>
      <c r="E216" s="5">
        <v>-1834.4831561000001</v>
      </c>
      <c r="F216" s="5">
        <v>0</v>
      </c>
      <c r="G216" s="5">
        <v>-984.9694647</v>
      </c>
      <c r="H216" s="5">
        <v>785</v>
      </c>
      <c r="I216" s="5">
        <v>0</v>
      </c>
      <c r="J216" s="5">
        <v>0.51010919999999993</v>
      </c>
      <c r="K216" s="5">
        <v>35728.008423339998</v>
      </c>
      <c r="L216" s="5">
        <v>0</v>
      </c>
      <c r="M216" s="5">
        <v>0</v>
      </c>
      <c r="N216" s="5">
        <v>-1085.8297298200005</v>
      </c>
      <c r="O216" s="5">
        <v>0</v>
      </c>
      <c r="P216" s="5">
        <v>-1.91794999999928E-3</v>
      </c>
      <c r="Q216" s="5" t="s">
        <v>98</v>
      </c>
      <c r="R216" s="5">
        <v>-2.7235380599999957</v>
      </c>
      <c r="S216" s="5">
        <v>0</v>
      </c>
      <c r="T216" s="5">
        <v>-65.177767120000055</v>
      </c>
      <c r="U216" s="5">
        <v>-2032.53652741</v>
      </c>
      <c r="V216" s="5">
        <v>-3186.2694803600007</v>
      </c>
      <c r="W216" s="5">
        <v>32541.738942979999</v>
      </c>
      <c r="X216" s="5">
        <v>38031.952677261426</v>
      </c>
      <c r="Y216" s="5">
        <v>0</v>
      </c>
      <c r="Z216" s="5">
        <v>0</v>
      </c>
      <c r="AA216" s="5">
        <v>26688.577496620001</v>
      </c>
      <c r="AB216" s="5">
        <v>0</v>
      </c>
      <c r="AC216" s="5">
        <v>0</v>
      </c>
      <c r="AD216" s="5" t="s">
        <v>98</v>
      </c>
      <c r="AE216" s="5">
        <v>-2.7267324500000001</v>
      </c>
      <c r="AF216" s="5">
        <v>997</v>
      </c>
      <c r="AG216" s="5">
        <v>18878</v>
      </c>
      <c r="AH216" s="5">
        <v>6711</v>
      </c>
      <c r="AI216" s="5">
        <v>53271.850764169998</v>
      </c>
    </row>
    <row r="217" spans="1:35" x14ac:dyDescent="0.2">
      <c r="A217" s="75">
        <v>45869</v>
      </c>
      <c r="B217" s="5">
        <v>32541.738942979999</v>
      </c>
      <c r="C217" s="5">
        <v>4677.2077326999988</v>
      </c>
      <c r="D217" s="5">
        <v>491.60323537000465</v>
      </c>
      <c r="E217" s="5">
        <v>-6972.4856074000008</v>
      </c>
      <c r="F217" s="5">
        <v>0</v>
      </c>
      <c r="G217" s="5">
        <v>-1221.2760733299999</v>
      </c>
      <c r="H217" s="5">
        <v>1600</v>
      </c>
      <c r="I217" s="5">
        <v>0</v>
      </c>
      <c r="J217" s="5">
        <v>-1.1653653400000001</v>
      </c>
      <c r="K217" s="5">
        <v>31115.622864980003</v>
      </c>
      <c r="L217" s="5">
        <v>0</v>
      </c>
      <c r="M217" s="5">
        <v>0</v>
      </c>
      <c r="N217" s="5">
        <v>2106.3195263399998</v>
      </c>
      <c r="O217" s="5">
        <v>0</v>
      </c>
      <c r="P217" s="5">
        <v>0</v>
      </c>
      <c r="Q217" s="5" t="s">
        <v>98</v>
      </c>
      <c r="R217" s="5">
        <v>2.7293866500000021</v>
      </c>
      <c r="S217" s="5">
        <v>0</v>
      </c>
      <c r="T217" s="5">
        <v>-26.447931509999989</v>
      </c>
      <c r="U217" s="5">
        <v>-398.85136985999998</v>
      </c>
      <c r="V217" s="5">
        <v>1683.74961162</v>
      </c>
      <c r="W217" s="5">
        <v>32799.372476600001</v>
      </c>
      <c r="X217" s="5">
        <v>36920.266745778688</v>
      </c>
      <c r="Y217" s="5">
        <v>0</v>
      </c>
      <c r="Z217" s="5">
        <v>0</v>
      </c>
      <c r="AA217" s="5">
        <v>28868.784243619997</v>
      </c>
      <c r="AB217" s="5">
        <v>0</v>
      </c>
      <c r="AC217" s="5">
        <v>0</v>
      </c>
      <c r="AD217" s="5" t="s">
        <v>98</v>
      </c>
      <c r="AE217" s="5">
        <v>0</v>
      </c>
      <c r="AF217" s="5">
        <v>971</v>
      </c>
      <c r="AG217" s="5">
        <v>18463</v>
      </c>
      <c r="AH217" s="5">
        <v>6361</v>
      </c>
      <c r="AI217" s="5">
        <v>54664</v>
      </c>
    </row>
    <row r="218" spans="1:35" x14ac:dyDescent="0.2">
      <c r="A218" s="75">
        <v>45898</v>
      </c>
      <c r="B218" s="5">
        <v>32799.372476600001</v>
      </c>
      <c r="C218" s="5">
        <v>-501.19633024999962</v>
      </c>
      <c r="D218" s="5">
        <v>506.24834032099955</v>
      </c>
      <c r="E218" s="5">
        <v>-1583.110778581</v>
      </c>
      <c r="F218" s="5">
        <v>0</v>
      </c>
      <c r="G218" s="5">
        <v>-889.13614366000002</v>
      </c>
      <c r="H218" s="5">
        <v>925</v>
      </c>
      <c r="I218" s="5">
        <v>0</v>
      </c>
      <c r="J218" s="5">
        <v>1.8356483600000002</v>
      </c>
      <c r="K218" s="5">
        <v>31259.01321279</v>
      </c>
      <c r="L218" s="5">
        <v>0</v>
      </c>
      <c r="M218" s="5">
        <v>0</v>
      </c>
      <c r="N218" s="5">
        <v>-1562.2534455700002</v>
      </c>
      <c r="O218" s="5">
        <v>0</v>
      </c>
      <c r="P218" s="5">
        <v>0</v>
      </c>
      <c r="Q218" s="5" t="s">
        <v>98</v>
      </c>
      <c r="R218" s="5">
        <v>0</v>
      </c>
      <c r="S218" s="5">
        <v>0</v>
      </c>
      <c r="T218" s="5">
        <v>-29.07058219999999</v>
      </c>
      <c r="U218" s="5">
        <v>-1425.6506849299999</v>
      </c>
      <c r="V218" s="5">
        <v>-3016.9747127000001</v>
      </c>
      <c r="W218" s="5">
        <v>28242.038500089999</v>
      </c>
      <c r="X218" s="5">
        <v>34491.057965133812</v>
      </c>
      <c r="Y218" s="5">
        <v>0</v>
      </c>
      <c r="Z218" s="5">
        <v>0</v>
      </c>
      <c r="AA218" s="5">
        <v>27387</v>
      </c>
      <c r="AB218" s="5">
        <v>0</v>
      </c>
      <c r="AC218" s="5">
        <v>0</v>
      </c>
      <c r="AD218" s="5" t="s">
        <v>98</v>
      </c>
      <c r="AE218" s="5">
        <v>0</v>
      </c>
      <c r="AF218" s="5">
        <v>942</v>
      </c>
      <c r="AG218" s="5">
        <v>18048</v>
      </c>
      <c r="AH218" s="5">
        <v>5111</v>
      </c>
      <c r="AI218" s="5">
        <v>51488</v>
      </c>
    </row>
    <row r="219" spans="1:35" x14ac:dyDescent="0.2">
      <c r="A219" s="75">
        <v>45930</v>
      </c>
      <c r="B219" s="5">
        <v>28242.038500090002</v>
      </c>
      <c r="C219" s="5">
        <v>-392.43497582969735</v>
      </c>
      <c r="D219" s="5">
        <v>482.34846162969154</v>
      </c>
      <c r="E219" s="5">
        <v>-3624.994072</v>
      </c>
      <c r="F219" s="5">
        <v>3066.8747999999996</v>
      </c>
      <c r="G219" s="5">
        <v>-946.84052167000004</v>
      </c>
      <c r="H219" s="5">
        <v>830</v>
      </c>
      <c r="I219" s="5">
        <v>0</v>
      </c>
      <c r="J219" s="5">
        <v>-257.06434528</v>
      </c>
      <c r="K219" s="5">
        <v>27399.927846939998</v>
      </c>
      <c r="L219" s="5">
        <v>3840.0000000100003</v>
      </c>
      <c r="M219" s="5">
        <v>0</v>
      </c>
      <c r="N219" s="5">
        <v>394.54565774999992</v>
      </c>
      <c r="O219" s="5">
        <v>0</v>
      </c>
      <c r="P219" s="5">
        <v>-1.917969999997382E-3</v>
      </c>
      <c r="Q219" s="5" t="s">
        <v>98</v>
      </c>
      <c r="R219" s="5">
        <v>0</v>
      </c>
      <c r="S219" s="5">
        <v>0</v>
      </c>
      <c r="T219" s="5">
        <v>-23.07516437999999</v>
      </c>
      <c r="U219" s="5">
        <v>-952.34287671000004</v>
      </c>
      <c r="V219" s="5">
        <v>3259.1256986999992</v>
      </c>
      <c r="W219" s="5">
        <v>30659.053545639996</v>
      </c>
      <c r="X219" s="5">
        <v>31182.676171586812</v>
      </c>
      <c r="Y219" s="5">
        <v>3840.0000000099999</v>
      </c>
      <c r="Z219" s="5">
        <v>0</v>
      </c>
      <c r="AA219" s="5">
        <v>27762</v>
      </c>
      <c r="AB219" s="5">
        <v>0</v>
      </c>
      <c r="AC219" s="5">
        <v>0</v>
      </c>
      <c r="AD219" s="5" t="s">
        <v>98</v>
      </c>
      <c r="AE219" s="5">
        <v>0</v>
      </c>
      <c r="AF219" s="5">
        <v>919</v>
      </c>
      <c r="AG219" s="5">
        <v>17018</v>
      </c>
      <c r="AH219" s="5">
        <v>4276</v>
      </c>
      <c r="AI219" s="5">
        <v>53815</v>
      </c>
    </row>
    <row r="220" spans="1:35" x14ac:dyDescent="0.2">
      <c r="A220" s="75">
        <v>45961</v>
      </c>
      <c r="B220" s="5">
        <v>30659.053545639992</v>
      </c>
      <c r="C220" s="5">
        <v>4190.2519488808994</v>
      </c>
      <c r="D220" s="5">
        <v>135.18017853911266</v>
      </c>
      <c r="E220" s="5">
        <v>-1435.2441161500001</v>
      </c>
      <c r="F220" s="5">
        <v>0</v>
      </c>
      <c r="G220" s="5">
        <v>-934.08311062999996</v>
      </c>
      <c r="H220" s="5">
        <v>890</v>
      </c>
      <c r="I220" s="5">
        <v>0</v>
      </c>
      <c r="J220" s="5">
        <v>-127.84406556000002</v>
      </c>
      <c r="K220" s="5">
        <v>33377.31438072001</v>
      </c>
      <c r="L220" s="5">
        <v>-1842.8746493099993</v>
      </c>
      <c r="M220" s="5">
        <v>0</v>
      </c>
      <c r="N220" s="5">
        <v>-959.82997384999726</v>
      </c>
      <c r="O220" s="5">
        <v>0</v>
      </c>
      <c r="P220" s="5">
        <v>-8.2190000000093022E-5</v>
      </c>
      <c r="Q220" s="5" t="s">
        <v>98</v>
      </c>
      <c r="R220" s="5">
        <v>6.6943600000115566E-3</v>
      </c>
      <c r="S220" s="5">
        <v>0</v>
      </c>
      <c r="T220" s="5">
        <v>-54.068013699999995</v>
      </c>
      <c r="U220" s="5">
        <v>-1883.6298356100001</v>
      </c>
      <c r="V220" s="5">
        <v>-4740.3958602999965</v>
      </c>
      <c r="W220" s="5">
        <v>28636.918520420015</v>
      </c>
      <c r="X220" s="5">
        <v>30138.897968189995</v>
      </c>
      <c r="Y220" s="5">
        <v>2000.0000000099997</v>
      </c>
      <c r="Z220" s="5">
        <v>0</v>
      </c>
      <c r="AA220" s="5">
        <v>26965.073048510003</v>
      </c>
      <c r="AB220" s="5">
        <v>0</v>
      </c>
      <c r="AC220" s="5">
        <v>0</v>
      </c>
      <c r="AD220" s="5" t="s">
        <v>98</v>
      </c>
      <c r="AE220" s="5">
        <v>0</v>
      </c>
      <c r="AF220" s="5">
        <v>865</v>
      </c>
      <c r="AG220" s="5">
        <v>16603</v>
      </c>
      <c r="AH220" s="5">
        <v>2624</v>
      </c>
      <c r="AI220" s="5">
        <v>49057.073048520004</v>
      </c>
    </row>
    <row r="221" spans="1:35" x14ac:dyDescent="0.2">
      <c r="A221" s="75">
        <v>45989</v>
      </c>
      <c r="B221" s="5">
        <v>28636.918520420011</v>
      </c>
      <c r="C221" s="5">
        <v>758.74666839000156</v>
      </c>
      <c r="D221" s="5">
        <v>22.4569991599937</v>
      </c>
      <c r="E221" s="5">
        <v>-6933.8695714600008</v>
      </c>
      <c r="F221" s="5">
        <v>0</v>
      </c>
      <c r="G221" s="5">
        <v>-642.52567098000009</v>
      </c>
      <c r="H221" s="5">
        <v>1360</v>
      </c>
      <c r="I221" s="5">
        <v>0</v>
      </c>
      <c r="J221" s="5">
        <v>-127.98335406</v>
      </c>
      <c r="K221" s="5">
        <v>23073.743591470004</v>
      </c>
      <c r="L221" s="5">
        <v>2996.6041917700022</v>
      </c>
      <c r="M221" s="5">
        <v>0</v>
      </c>
      <c r="N221" s="5">
        <v>5355.201395889997</v>
      </c>
      <c r="O221" s="5">
        <v>0</v>
      </c>
      <c r="P221" s="5">
        <v>-2.4658899999963069E-3</v>
      </c>
      <c r="Q221" s="5" t="s">
        <v>98</v>
      </c>
      <c r="R221" s="5">
        <v>1.0959000000010377E-4</v>
      </c>
      <c r="S221" s="5">
        <v>0</v>
      </c>
      <c r="T221" s="5">
        <v>-80.062609589999965</v>
      </c>
      <c r="U221" s="5">
        <v>-2647.8672739600001</v>
      </c>
      <c r="V221" s="5">
        <v>5623.8733478099984</v>
      </c>
      <c r="W221" s="5">
        <v>28697.61693928</v>
      </c>
      <c r="X221" s="5">
        <v>31616.437157496995</v>
      </c>
      <c r="Y221" s="5">
        <v>5000.0000000200007</v>
      </c>
      <c r="Z221" s="5">
        <v>0</v>
      </c>
      <c r="AA221" s="5">
        <v>32396.470271910002</v>
      </c>
      <c r="AB221" s="5">
        <v>0</v>
      </c>
      <c r="AC221" s="5">
        <v>0</v>
      </c>
      <c r="AD221" s="5" t="s">
        <v>98</v>
      </c>
      <c r="AE221" s="5">
        <v>0</v>
      </c>
      <c r="AF221" s="5">
        <v>785</v>
      </c>
      <c r="AG221" s="5">
        <v>16188</v>
      </c>
      <c r="AH221" s="5">
        <v>300</v>
      </c>
      <c r="AI221" s="5">
        <v>54669.470271930004</v>
      </c>
    </row>
    <row r="222" spans="1:35" x14ac:dyDescent="0.2">
      <c r="A222" s="75">
        <v>46022</v>
      </c>
      <c r="B222" s="5">
        <v>28697.61693928</v>
      </c>
      <c r="C222" s="5">
        <v>9246.501438334577</v>
      </c>
      <c r="D222" s="5">
        <v>-489.4512409145857</v>
      </c>
      <c r="E222" s="5">
        <v>-1375.44723914</v>
      </c>
      <c r="F222" s="5">
        <v>0</v>
      </c>
      <c r="G222" s="5">
        <v>-241.549905</v>
      </c>
      <c r="H222" s="5">
        <v>0</v>
      </c>
      <c r="I222" s="5">
        <v>0</v>
      </c>
      <c r="J222" s="5">
        <v>258.80441797000003</v>
      </c>
      <c r="K222" s="5">
        <v>36096.474410529998</v>
      </c>
      <c r="L222" s="5">
        <v>565.62858521999988</v>
      </c>
      <c r="M222" s="5">
        <v>0</v>
      </c>
      <c r="N222" s="5">
        <v>-2791.0658621099992</v>
      </c>
      <c r="O222" s="5">
        <v>0</v>
      </c>
      <c r="P222" s="5">
        <v>0</v>
      </c>
      <c r="Q222" s="5" t="s">
        <v>98</v>
      </c>
      <c r="R222" s="5">
        <v>-28.63918702999996</v>
      </c>
      <c r="S222" s="5">
        <v>0</v>
      </c>
      <c r="T222" s="5">
        <v>-103.44843150999998</v>
      </c>
      <c r="U222" s="5">
        <v>-341.65684931999999</v>
      </c>
      <c r="V222" s="5">
        <v>-2699.1817447499989</v>
      </c>
      <c r="W222" s="5">
        <v>33397.292665779998</v>
      </c>
      <c r="X222" s="5">
        <v>30107.039760679563</v>
      </c>
      <c r="Y222" s="5">
        <v>5567.999999990001</v>
      </c>
      <c r="Z222" s="5">
        <v>0</v>
      </c>
      <c r="AA222" s="5">
        <v>29687</v>
      </c>
      <c r="AB222" s="5">
        <v>0</v>
      </c>
      <c r="AC222" s="5">
        <v>0</v>
      </c>
      <c r="AD222" s="5" t="s">
        <v>98</v>
      </c>
      <c r="AE222" s="5">
        <v>-28.659870190000003</v>
      </c>
      <c r="AF222" s="5">
        <v>682</v>
      </c>
      <c r="AG222" s="5">
        <v>15773</v>
      </c>
      <c r="AH222" s="5">
        <v>0</v>
      </c>
      <c r="AI222" s="5">
        <v>51681.340129800003</v>
      </c>
    </row>
    <row r="223" spans="1:35" x14ac:dyDescent="0.2">
      <c r="A223" s="75">
        <v>46052</v>
      </c>
      <c r="B223" s="5">
        <v>33397.292665779998</v>
      </c>
      <c r="C223" s="5">
        <v>-7998.9942054299918</v>
      </c>
      <c r="D223" s="5">
        <v>-799.13295014000505</v>
      </c>
      <c r="E223" s="5">
        <v>-952.2879633</v>
      </c>
      <c r="F223" s="5">
        <v>0</v>
      </c>
      <c r="G223" s="5">
        <v>-741.51498284000002</v>
      </c>
      <c r="H223" s="5">
        <v>1290</v>
      </c>
      <c r="I223" s="5">
        <v>0</v>
      </c>
      <c r="J223" s="5">
        <v>250.43758892</v>
      </c>
      <c r="K223" s="5">
        <v>24445.800152990003</v>
      </c>
      <c r="L223" s="5">
        <v>1119.8406465799981</v>
      </c>
      <c r="M223" s="5">
        <v>0</v>
      </c>
      <c r="N223" s="5">
        <v>527.56793714000014</v>
      </c>
      <c r="O223" s="5">
        <v>0</v>
      </c>
      <c r="P223" s="5">
        <v>0</v>
      </c>
      <c r="Q223" s="5" t="s">
        <v>98</v>
      </c>
      <c r="R223" s="5">
        <v>27.3611602</v>
      </c>
      <c r="S223" s="5">
        <v>0</v>
      </c>
      <c r="T223" s="5">
        <v>-173.40047260999995</v>
      </c>
      <c r="U223" s="5">
        <v>0</v>
      </c>
      <c r="V223" s="5">
        <v>1501.3692713099983</v>
      </c>
      <c r="W223" s="5">
        <v>25947.169424300002</v>
      </c>
      <c r="X223" s="5">
        <v>29089.158092699541</v>
      </c>
      <c r="Y223" s="5">
        <v>6699.9999999999991</v>
      </c>
      <c r="Z223" s="5">
        <v>0</v>
      </c>
      <c r="AA223" s="5">
        <v>30263.0905231</v>
      </c>
      <c r="AB223" s="5">
        <v>0</v>
      </c>
      <c r="AC223" s="5">
        <v>0</v>
      </c>
      <c r="AD223" s="5" t="s">
        <v>98</v>
      </c>
      <c r="AE223" s="5">
        <v>0</v>
      </c>
      <c r="AF223" s="5">
        <v>509</v>
      </c>
      <c r="AG223" s="5">
        <v>15358</v>
      </c>
      <c r="AH223" s="5">
        <v>0</v>
      </c>
      <c r="AI223" s="5">
        <v>52830.0905231</v>
      </c>
    </row>
    <row r="224" spans="1:35" x14ac:dyDescent="0.2">
      <c r="A224" s="75">
        <v>46080</v>
      </c>
      <c r="B224" s="5">
        <v>25947.169424300002</v>
      </c>
      <c r="C224" s="5">
        <v>3525.8102463500036</v>
      </c>
      <c r="D224" s="5">
        <v>451.04461856999092</v>
      </c>
      <c r="E224" s="5">
        <v>-1794.1091701099999</v>
      </c>
      <c r="F224" s="5">
        <v>0</v>
      </c>
      <c r="G224" s="5">
        <v>-820.18583669999998</v>
      </c>
      <c r="H224" s="5">
        <v>810</v>
      </c>
      <c r="I224" s="5">
        <v>0</v>
      </c>
      <c r="J224" s="5">
        <v>0</v>
      </c>
      <c r="K224" s="5">
        <v>28119.729282409997</v>
      </c>
      <c r="L224" s="5">
        <v>-311.21626011000262</v>
      </c>
      <c r="M224" s="5">
        <v>0</v>
      </c>
      <c r="N224" s="5">
        <v>27.249066659998789</v>
      </c>
      <c r="O224" s="5">
        <v>0</v>
      </c>
      <c r="P224" s="5">
        <v>-6.0277999999946985E-4</v>
      </c>
      <c r="Q224" s="5" t="s">
        <v>98</v>
      </c>
      <c r="R224" s="5">
        <v>1.2781299999993223E-3</v>
      </c>
      <c r="S224" s="5">
        <v>0</v>
      </c>
      <c r="T224" s="5">
        <v>-36.097294509999983</v>
      </c>
      <c r="U224" s="5">
        <v>0</v>
      </c>
      <c r="V224" s="5">
        <v>-320.06381261000382</v>
      </c>
      <c r="W224" s="5">
        <v>27799.665469799995</v>
      </c>
      <c r="X224" s="5">
        <v>28888.503530995502</v>
      </c>
      <c r="Y224" s="5">
        <v>6400</v>
      </c>
      <c r="Z224" s="5">
        <v>0</v>
      </c>
      <c r="AA224" s="5">
        <v>30358.252156580002</v>
      </c>
      <c r="AB224" s="5">
        <v>0</v>
      </c>
      <c r="AC224" s="5">
        <v>0</v>
      </c>
      <c r="AD224" s="5" t="s">
        <v>98</v>
      </c>
      <c r="AE224" s="5">
        <v>0</v>
      </c>
      <c r="AF224" s="5">
        <v>473</v>
      </c>
      <c r="AG224" s="5">
        <v>14943</v>
      </c>
      <c r="AH224" s="5">
        <v>0</v>
      </c>
      <c r="AI224" s="5">
        <v>52174.252156579998</v>
      </c>
    </row>
    <row r="225" spans="1:35" x14ac:dyDescent="0.2">
      <c r="A225" s="75">
        <v>46112</v>
      </c>
      <c r="B225" s="5">
        <v>27799.665469799995</v>
      </c>
      <c r="C225" s="5">
        <v>-1502.0650995875028</v>
      </c>
      <c r="D225" s="5">
        <v>490.59514151751546</v>
      </c>
      <c r="E225" s="5">
        <v>-2162.8711722799999</v>
      </c>
      <c r="F225" s="5">
        <v>0</v>
      </c>
      <c r="G225" s="5">
        <v>-820.61254645999998</v>
      </c>
      <c r="H225" s="5">
        <v>510</v>
      </c>
      <c r="I225" s="5">
        <v>0</v>
      </c>
      <c r="J225" s="5">
        <v>-254.88987152999999</v>
      </c>
      <c r="K225" s="5">
        <v>24059.821921460007</v>
      </c>
      <c r="L225" s="5">
        <v>2438.0230766599961</v>
      </c>
      <c r="M225" s="5">
        <v>0</v>
      </c>
      <c r="N225" s="5">
        <v>1873.1734994599974</v>
      </c>
      <c r="O225" s="5">
        <v>0</v>
      </c>
      <c r="P225" s="5">
        <v>-7.5339999999979312E-5</v>
      </c>
      <c r="Q225" s="5" t="s">
        <v>98</v>
      </c>
      <c r="R225" s="5">
        <v>1.3759200000009741E-3</v>
      </c>
      <c r="S225" s="5">
        <v>0</v>
      </c>
      <c r="T225" s="5">
        <v>-62.062691770000015</v>
      </c>
      <c r="U225" s="5">
        <v>0</v>
      </c>
      <c r="V225" s="5">
        <v>4249.1351849299936</v>
      </c>
      <c r="W225" s="5">
        <v>28308.95710639</v>
      </c>
      <c r="X225" s="5">
        <v>29332.662206257737</v>
      </c>
      <c r="Y225" s="5">
        <v>8850</v>
      </c>
      <c r="Z225" s="5">
        <v>0</v>
      </c>
      <c r="AA225" s="5">
        <v>32300.080521919994</v>
      </c>
      <c r="AB225" s="5">
        <v>0</v>
      </c>
      <c r="AC225" s="5">
        <v>0</v>
      </c>
      <c r="AD225" s="5" t="s">
        <v>98</v>
      </c>
      <c r="AE225" s="5">
        <v>0</v>
      </c>
      <c r="AF225" s="5">
        <v>411</v>
      </c>
      <c r="AG225" s="5">
        <v>14528</v>
      </c>
      <c r="AH225" s="5">
        <v>0</v>
      </c>
      <c r="AI225" s="5">
        <v>56089.080521919997</v>
      </c>
    </row>
    <row r="226" spans="1:35" x14ac:dyDescent="0.2">
      <c r="A226" s="75">
        <v>46142</v>
      </c>
      <c r="B226" s="5">
        <v>28308.95710639</v>
      </c>
      <c r="C226" s="5">
        <v>2524.0932348299989</v>
      </c>
      <c r="D226" s="5">
        <v>-614.29970431999345</v>
      </c>
      <c r="E226" s="5">
        <v>-1750.4591740000001</v>
      </c>
      <c r="F226" s="5">
        <v>0</v>
      </c>
      <c r="G226" s="5">
        <v>-1232.29422221</v>
      </c>
      <c r="H226" s="5">
        <v>771</v>
      </c>
      <c r="I226" s="5">
        <v>0</v>
      </c>
      <c r="J226" s="5">
        <v>-654.55272533999994</v>
      </c>
      <c r="K226" s="5">
        <v>27352.444515350006</v>
      </c>
      <c r="L226" s="5">
        <v>-4704.9657196300013</v>
      </c>
      <c r="M226" s="5">
        <v>1.8947999999996412E-4</v>
      </c>
      <c r="N226" s="5">
        <v>1672.8751699900022</v>
      </c>
      <c r="O226" s="5">
        <v>0</v>
      </c>
      <c r="P226" s="5">
        <v>-3.76759999999976E-4</v>
      </c>
      <c r="Q226" s="5" t="s">
        <v>98</v>
      </c>
      <c r="R226" s="5">
        <v>8.5810500000036427E-3</v>
      </c>
      <c r="S226" s="5">
        <v>0</v>
      </c>
      <c r="T226" s="5">
        <v>-92.060712330000058</v>
      </c>
      <c r="U226" s="5">
        <v>0</v>
      </c>
      <c r="V226" s="5">
        <v>-3124.1428681999996</v>
      </c>
      <c r="W226" s="5">
        <v>24228.301647150005</v>
      </c>
      <c r="X226" s="5">
        <v>29413.51662316818</v>
      </c>
      <c r="Y226" s="5">
        <v>4155.0000000000009</v>
      </c>
      <c r="Z226" s="5">
        <v>0</v>
      </c>
      <c r="AA226" s="5">
        <v>34031.768157110004</v>
      </c>
      <c r="AB226" s="5">
        <v>0</v>
      </c>
      <c r="AC226" s="5">
        <v>0</v>
      </c>
      <c r="AD226" s="5" t="s">
        <v>98</v>
      </c>
      <c r="AE226" s="5">
        <v>0</v>
      </c>
      <c r="AF226" s="5">
        <v>319</v>
      </c>
      <c r="AG226" s="5">
        <v>13998</v>
      </c>
      <c r="AH226" s="5">
        <v>0</v>
      </c>
      <c r="AI226" s="5">
        <v>52503.768157110004</v>
      </c>
    </row>
    <row r="227" spans="1:35" x14ac:dyDescent="0.2">
      <c r="A227" s="75">
        <v>46171</v>
      </c>
      <c r="B227" s="5">
        <v>24228.301647150005</v>
      </c>
      <c r="C227" s="5">
        <v>-3882.9364453800026</v>
      </c>
      <c r="D227" s="5">
        <v>-2356.4553065100026</v>
      </c>
      <c r="E227" s="5">
        <v>-1232.6354613000001</v>
      </c>
      <c r="F227" s="5">
        <v>7855</v>
      </c>
      <c r="G227" s="5">
        <v>-987.28705394000008</v>
      </c>
      <c r="H227" s="5">
        <v>455</v>
      </c>
      <c r="I227" s="5">
        <v>0</v>
      </c>
      <c r="J227" s="5">
        <v>126.31793820999999</v>
      </c>
      <c r="K227" s="5">
        <v>24205.305318229995</v>
      </c>
      <c r="L227" s="5">
        <v>2173.8161058600053</v>
      </c>
      <c r="M227" s="5">
        <v>0</v>
      </c>
      <c r="N227" s="5">
        <v>-762.74732039000082</v>
      </c>
      <c r="O227" s="5">
        <v>0</v>
      </c>
      <c r="P227" s="5">
        <v>-6.0273999999971295E-4</v>
      </c>
      <c r="Q227" s="5" t="s">
        <v>98</v>
      </c>
      <c r="R227" s="5">
        <v>2.128757000002679E-2</v>
      </c>
      <c r="S227" s="5">
        <v>0</v>
      </c>
      <c r="T227" s="5">
        <v>-99.32181506000012</v>
      </c>
      <c r="U227" s="5">
        <v>0</v>
      </c>
      <c r="V227" s="5">
        <v>1311.7676552400044</v>
      </c>
      <c r="W227" s="5">
        <v>25517.07297347</v>
      </c>
      <c r="X227" s="5">
        <v>26219</v>
      </c>
      <c r="Y227" s="5">
        <v>6340.0000000100008</v>
      </c>
      <c r="Z227" s="5">
        <v>0</v>
      </c>
      <c r="AA227" s="5">
        <v>33542.216154490001</v>
      </c>
      <c r="AB227" s="5">
        <v>0</v>
      </c>
      <c r="AC227" s="5">
        <v>0</v>
      </c>
      <c r="AD227" s="5" t="s">
        <v>98</v>
      </c>
      <c r="AE227" s="5">
        <v>0</v>
      </c>
      <c r="AF227" s="5">
        <v>220</v>
      </c>
      <c r="AG227" s="5">
        <v>12653</v>
      </c>
      <c r="AH227" s="5">
        <v>0</v>
      </c>
      <c r="AI227" s="5">
        <v>52755</v>
      </c>
    </row>
    <row r="228" spans="1:35" x14ac:dyDescent="0.2">
      <c r="A228" s="75">
        <v>46203</v>
      </c>
      <c r="B228" s="5">
        <v>25517.07297347</v>
      </c>
      <c r="C228" s="5">
        <v>248</v>
      </c>
      <c r="D228" s="5">
        <v>1642.9634124199999</v>
      </c>
      <c r="E228" s="5">
        <v>-1936.7496262300001</v>
      </c>
      <c r="F228" s="5">
        <v>0</v>
      </c>
      <c r="G228" s="5">
        <v>-953.44898699999999</v>
      </c>
      <c r="H228" s="5">
        <v>510</v>
      </c>
      <c r="I228" s="5">
        <v>0</v>
      </c>
      <c r="J228" s="5">
        <v>-446</v>
      </c>
      <c r="K228" s="5">
        <v>24582</v>
      </c>
      <c r="L228" s="5">
        <v>610.28612990999864</v>
      </c>
      <c r="M228" s="5">
        <v>0</v>
      </c>
      <c r="N228" s="5">
        <v>-144</v>
      </c>
      <c r="O228" s="5">
        <v>0</v>
      </c>
      <c r="P228" s="5">
        <v>-7.5339999999979312E-5</v>
      </c>
      <c r="Q228" s="5" t="s">
        <v>98</v>
      </c>
      <c r="R228" s="5">
        <v>1.6536000000044737E-4</v>
      </c>
      <c r="S228" s="5">
        <v>0</v>
      </c>
      <c r="T228" s="5">
        <v>-85.043698619999986</v>
      </c>
      <c r="U228" s="5">
        <v>0</v>
      </c>
      <c r="V228" s="5">
        <v>381</v>
      </c>
      <c r="W228" s="5">
        <v>24963</v>
      </c>
      <c r="X228" s="5">
        <v>28172</v>
      </c>
      <c r="Y228" s="5">
        <v>6960.0000000500031</v>
      </c>
      <c r="Z228" s="5">
        <v>0</v>
      </c>
      <c r="AA228" s="5">
        <v>33263.962600660001</v>
      </c>
      <c r="AB228" s="5">
        <v>0</v>
      </c>
      <c r="AC228" s="5">
        <v>0</v>
      </c>
      <c r="AD228" s="5" t="s">
        <v>98</v>
      </c>
      <c r="AE228" s="5">
        <v>0</v>
      </c>
      <c r="AF228" s="5">
        <v>135</v>
      </c>
      <c r="AG228" s="5">
        <v>12218</v>
      </c>
      <c r="AH228" s="5">
        <v>0</v>
      </c>
      <c r="AI228" s="5">
        <v>52577</v>
      </c>
    </row>
    <row r="229" spans="1:35" x14ac:dyDescent="0.2">
      <c r="A229" s="75">
        <v>46234</v>
      </c>
      <c r="B229" s="5">
        <v>24963.303172489999</v>
      </c>
      <c r="C229" s="5">
        <v>6846.0902381599999</v>
      </c>
      <c r="D229" s="5">
        <v>-697.43392225998468</v>
      </c>
      <c r="E229" s="5">
        <v>-7840.2972580999995</v>
      </c>
      <c r="F229" s="5">
        <v>0</v>
      </c>
      <c r="G229" s="5">
        <v>-1000.619739</v>
      </c>
      <c r="H229" s="5">
        <v>1705</v>
      </c>
      <c r="I229" s="5">
        <v>0</v>
      </c>
      <c r="J229" s="5">
        <v>266.04770916000001</v>
      </c>
      <c r="K229" s="5">
        <v>24242.090200450013</v>
      </c>
      <c r="L229" s="5">
        <v>540.10458419998758</v>
      </c>
      <c r="M229" s="5">
        <v>0</v>
      </c>
      <c r="N229" s="5">
        <v>1154.119272609998</v>
      </c>
      <c r="O229" s="5">
        <v>0</v>
      </c>
      <c r="P229" s="5">
        <v>-1.55529099999967E-2</v>
      </c>
      <c r="Q229" s="5" t="s">
        <v>98</v>
      </c>
      <c r="R229" s="5">
        <v>-2.6416753499999857</v>
      </c>
      <c r="S229" s="5">
        <v>0</v>
      </c>
      <c r="T229" s="5">
        <v>-135.02830821999999</v>
      </c>
      <c r="U229" s="5">
        <v>0</v>
      </c>
      <c r="V229" s="5">
        <v>1556.5383203299857</v>
      </c>
      <c r="W229" s="5">
        <v>25798.628520779999</v>
      </c>
      <c r="X229" s="5">
        <v>28302.899402483912</v>
      </c>
      <c r="Y229" s="5">
        <v>7514.999999990001</v>
      </c>
      <c r="Z229" s="5">
        <v>0</v>
      </c>
      <c r="AA229" s="5">
        <v>34487.232430360003</v>
      </c>
      <c r="AB229" s="5">
        <v>0</v>
      </c>
      <c r="AC229" s="5">
        <v>0</v>
      </c>
      <c r="AD229" s="5" t="s">
        <v>98</v>
      </c>
      <c r="AE229" s="5">
        <v>-2.6521066200000001</v>
      </c>
      <c r="AF229" s="5">
        <v>0</v>
      </c>
      <c r="AG229" s="5">
        <v>11803</v>
      </c>
      <c r="AH229" s="5">
        <v>0</v>
      </c>
      <c r="AI229" s="5">
        <v>53803</v>
      </c>
    </row>
    <row r="230" spans="1:35" x14ac:dyDescent="0.2">
      <c r="A230" s="75">
        <v>46265</v>
      </c>
      <c r="B230" s="5">
        <v>25798.628520779999</v>
      </c>
      <c r="C230" s="5">
        <v>-59.561302310001679</v>
      </c>
      <c r="D230" s="5">
        <v>-767.17362151999964</v>
      </c>
      <c r="E230" s="5">
        <v>-1270.6056079999998</v>
      </c>
      <c r="F230" s="5">
        <v>0</v>
      </c>
      <c r="G230" s="5">
        <v>-775.82585799999993</v>
      </c>
      <c r="H230" s="5">
        <v>1000</v>
      </c>
      <c r="I230" s="5">
        <v>0</v>
      </c>
      <c r="J230" s="5">
        <v>252.55735618</v>
      </c>
      <c r="K230" s="5">
        <v>24178.019487129997</v>
      </c>
      <c r="L230" s="5">
        <v>3522.181629480001</v>
      </c>
      <c r="M230" s="5">
        <v>0</v>
      </c>
      <c r="N230" s="5">
        <v>-4386.3738952899994</v>
      </c>
      <c r="O230" s="5">
        <v>0</v>
      </c>
      <c r="P230" s="5">
        <v>-1.7103700000014044E-3</v>
      </c>
      <c r="Q230" s="5" t="s">
        <v>98</v>
      </c>
      <c r="R230" s="5">
        <v>2.6530157699999997</v>
      </c>
      <c r="S230" s="5">
        <v>0</v>
      </c>
      <c r="T230" s="5">
        <v>0</v>
      </c>
      <c r="U230" s="5">
        <v>0</v>
      </c>
      <c r="V230" s="5">
        <v>-861.54096040999832</v>
      </c>
      <c r="W230" s="5">
        <v>23316.478526719999</v>
      </c>
      <c r="X230" s="5">
        <v>26460</v>
      </c>
      <c r="Y230" s="5">
        <v>11050.000000009999</v>
      </c>
      <c r="Z230" s="5">
        <v>0</v>
      </c>
      <c r="AA230" s="5">
        <v>30170</v>
      </c>
      <c r="AB230" s="5">
        <v>0</v>
      </c>
      <c r="AC230" s="5">
        <v>0</v>
      </c>
      <c r="AD230" s="5" t="s">
        <v>98</v>
      </c>
      <c r="AE230" s="5">
        <v>0</v>
      </c>
      <c r="AF230" s="5">
        <v>0</v>
      </c>
      <c r="AG230" s="5">
        <v>11388</v>
      </c>
      <c r="AH230" s="5">
        <v>0</v>
      </c>
      <c r="AI230" s="5">
        <v>52608</v>
      </c>
    </row>
  </sheetData>
  <mergeCells count="12">
    <mergeCell ref="A4:A5"/>
    <mergeCell ref="B4:B5"/>
    <mergeCell ref="C4:C5"/>
    <mergeCell ref="D4:D5"/>
    <mergeCell ref="W4:W5"/>
    <mergeCell ref="Y4:AE4"/>
    <mergeCell ref="AI4:AI5"/>
    <mergeCell ref="E4:I4"/>
    <mergeCell ref="J4:J5"/>
    <mergeCell ref="K4:K5"/>
    <mergeCell ref="L4:V4"/>
    <mergeCell ref="X4:X5"/>
  </mergeCells>
  <phoneticPr fontId="11" type="noConversion"/>
  <pageMargins left="0.75" right="0.75" top="1" bottom="1" header="0.5" footer="0.5"/>
  <pageSetup paperSize="8" orientation="landscape" r:id="rId1"/>
  <headerFooter alignWithMargins="0">
    <oddHeader>&amp;C&amp;"Calibri"&amp;10&amp;K000000 IN CONFIDENCE&amp;1#_x000D_</oddHeader>
    <oddFooter>&amp;C_x000D_&amp;1#&amp;"Calibri"&amp;10&amp;K000000 IN CONFIDENCE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History_C16 (to Mar 1999)</vt:lpstr>
      <vt:lpstr>History_D10 (Apr 99 to Dec 07)</vt:lpstr>
      <vt:lpstr>History_D10 (Jan 08 onwards)</vt:lpstr>
      <vt:lpstr>'History_C16 (to Mar 1999)'!Print_Area</vt:lpstr>
      <vt:lpstr>'History_D10 (Apr 99 to Dec 07)'!Print_Area</vt:lpstr>
      <vt:lpstr>'History_D10 (Jan 08 onwards)'!Print_Area</vt:lpstr>
      <vt:lpstr>'History_D10 (Apr 99 to Dec 07)'!Print_Titles</vt:lpstr>
    </vt:vector>
  </TitlesOfParts>
  <Company>Reserve Bank of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Sutherland</dc:creator>
  <cp:lastModifiedBy>Rob van der Wal</cp:lastModifiedBy>
  <cp:lastPrinted>2008-12-29T23:48:51Z</cp:lastPrinted>
  <dcterms:created xsi:type="dcterms:W3CDTF">1999-04-29T05:17:51Z</dcterms:created>
  <dcterms:modified xsi:type="dcterms:W3CDTF">2026-09-27T18:42:57Z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204ef0-88f2-468b-8ccc-80ef20191258_Enabled">
    <vt:lpwstr>true</vt:lpwstr>
  </property>
  <property fmtid="{D5CDD505-2E9C-101B-9397-08002B2CF9AE}" pid="3" name="MSIP_Label_61204ef0-88f2-468b-8ccc-80ef20191258_SetDate">
    <vt:lpwstr>2025-03-18T00:50:16Z</vt:lpwstr>
  </property>
  <property fmtid="{D5CDD505-2E9C-101B-9397-08002B2CF9AE}" pid="4" name="MSIP_Label_61204ef0-88f2-468b-8ccc-80ef20191258_Method">
    <vt:lpwstr>Privileged</vt:lpwstr>
  </property>
  <property fmtid="{D5CDD505-2E9C-101B-9397-08002B2CF9AE}" pid="5" name="MSIP_Label_61204ef0-88f2-468b-8ccc-80ef20191258_Name">
    <vt:lpwstr>IN CONFIDENCE_00</vt:lpwstr>
  </property>
  <property fmtid="{D5CDD505-2E9C-101B-9397-08002B2CF9AE}" pid="6" name="MSIP_Label_61204ef0-88f2-468b-8ccc-80ef20191258_SiteId">
    <vt:lpwstr>ef09e631-f62d-48d5-8cdb-02f838550358</vt:lpwstr>
  </property>
  <property fmtid="{D5CDD505-2E9C-101B-9397-08002B2CF9AE}" pid="7" name="MSIP_Label_61204ef0-88f2-468b-8ccc-80ef20191258_ActionId">
    <vt:lpwstr>d8c462d2-2eb3-4c66-9556-551df7e95e06</vt:lpwstr>
  </property>
  <property fmtid="{D5CDD505-2E9C-101B-9397-08002B2CF9AE}" pid="8" name="MSIP_Label_61204ef0-88f2-468b-8ccc-80ef20191258_ContentBits">
    <vt:lpwstr>3</vt:lpwstr>
  </property>
  <property fmtid="{D5CDD505-2E9C-101B-9397-08002B2CF9AE}" pid="9" name="MSIP_Label_61204ef0-88f2-468b-8ccc-80ef20191258_Tag">
    <vt:lpwstr>10, 0, 1, 1</vt:lpwstr>
  </property>
</Properties>
</file>